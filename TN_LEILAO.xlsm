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FYY\Trading\Projects\TN_Leiloes\"/>
    </mc:Choice>
  </mc:AlternateContent>
  <xr:revisionPtr revIDLastSave="0" documentId="13_ncr:1_{ED36D43E-6CBB-40CA-BE9D-9557CDEC0CBE}" xr6:coauthVersionLast="46" xr6:coauthVersionMax="46" xr10:uidLastSave="{00000000-0000-0000-0000-000000000000}"/>
  <bookViews>
    <workbookView xWindow="-120" yWindow="-120" windowWidth="29040" windowHeight="15840" xr2:uid="{DF5360CF-8287-42A4-A3F6-4B76A0FC39CA}"/>
  </bookViews>
  <sheets>
    <sheet name="Ctrl" sheetId="2" r:id="rId1"/>
    <sheet name="LEILAO" sheetId="1" r:id="rId2"/>
    <sheet name="dfLTN" sheetId="4" r:id="rId3"/>
    <sheet name="dfNTNF" sheetId="5" r:id="rId4"/>
    <sheet name="DV_unit" sheetId="3" r:id="rId5"/>
  </sheets>
  <functionGroups builtInGroupCount="19"/>
  <definedNames>
    <definedName name="file_DV_unit_CSV">LEILAO!$A$2</definedName>
    <definedName name="file_Faca">LEILAO!$C$3</definedName>
    <definedName name="file_LTN">LEILAO!$C$2</definedName>
    <definedName name="flag_existe_faca">LEILAO!$D$3</definedName>
    <definedName name="flag_existe_LTN">LEILAO!$D$2</definedName>
    <definedName name="flag_loop">LEILAO!$O$2</definedName>
    <definedName name="flag_OK_Faca">LEILAO!$F$3</definedName>
    <definedName name="flag_ok_LTN">LEILAO!$F$2</definedName>
    <definedName name="flag_OK_total">LEILAO!$G$2</definedName>
    <definedName name="input_repeat_loop">LEILAO!$P$2</definedName>
    <definedName name="text_speak_Faca">LEILAO!$F$31</definedName>
    <definedName name="text_speak_LTN">LEILAO!$F$30</definedName>
    <definedName name="text_speak_Total">LEILAO!$F$29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" l="1" a="1"/>
  <c r="L13" i="1"/>
  <c r="L22" i="1" a="1"/>
  <c r="L22" i="1"/>
  <c r="L12" i="1" a="1"/>
  <c r="L12" i="1"/>
  <c r="L21" i="1" a="1"/>
  <c r="L21" i="1"/>
  <c r="L20" i="1" a="1"/>
  <c r="L20" i="1"/>
  <c r="L8" i="1" a="1"/>
  <c r="L8" i="1"/>
  <c r="L11" i="1" a="1"/>
  <c r="L11" i="1"/>
  <c r="L23" i="1" a="1"/>
  <c r="L23" i="1"/>
  <c r="L7" i="1" a="1"/>
  <c r="L7" i="1"/>
  <c r="L19" i="1" a="1"/>
  <c r="L19" i="1"/>
  <c r="L10" i="1" a="1"/>
  <c r="L10" i="1"/>
  <c r="L9" i="1" a="1"/>
  <c r="L9" i="1"/>
  <c r="D5" i="1"/>
  <c r="E3" i="1"/>
  <c r="F3" i="1" s="1"/>
  <c r="E2" i="1"/>
  <c r="F2" i="1" s="1"/>
  <c r="C3" i="1"/>
  <c r="C2" i="1"/>
  <c r="D2" i="1" a="1"/>
  <c r="D3" i="1" a="1"/>
  <c r="D2" i="1" l="1"/>
  <c r="D3" i="1"/>
  <c r="G2" i="1" l="1"/>
  <c r="N19" i="1" a="1"/>
  <c r="N19" i="1" s="1"/>
  <c r="N20" i="1" a="1"/>
  <c r="N20" i="1" s="1"/>
  <c r="N21" i="1" a="1"/>
  <c r="N21" i="1" s="1"/>
  <c r="N22" i="1" a="1"/>
  <c r="N22" i="1" s="1"/>
  <c r="N23" i="1" a="1"/>
  <c r="N23" i="1" s="1"/>
  <c r="B1" i="3"/>
  <c r="A1" i="3"/>
  <c r="A13" i="1" a="1"/>
  <c r="A13" i="1" s="1"/>
  <c r="P13" i="1"/>
  <c r="T13" i="1"/>
  <c r="A8" i="3" s="1"/>
  <c r="I13" i="1" a="1"/>
  <c r="I13" i="1" l="1"/>
  <c r="Q13" i="1" a="1"/>
  <c r="Q13" i="1" s="1"/>
  <c r="N13" i="1" a="1"/>
  <c r="N13" i="1" s="1"/>
  <c r="M13" i="1" a="1"/>
  <c r="M13" i="1" l="1"/>
  <c r="T7" i="1"/>
  <c r="A2" i="3" s="1"/>
  <c r="A7" i="1" a="1"/>
  <c r="A7" i="1" s="1"/>
  <c r="A8" i="1" a="1"/>
  <c r="A8" i="1" s="1"/>
  <c r="A9" i="1" a="1"/>
  <c r="A9" i="1" s="1"/>
  <c r="N9" i="1" s="1" a="1"/>
  <c r="N9" i="1" s="1"/>
  <c r="A10" i="1" a="1"/>
  <c r="A10" i="1" s="1"/>
  <c r="N10" i="1" s="1" a="1"/>
  <c r="N10" i="1" s="1"/>
  <c r="A11" i="1" a="1"/>
  <c r="A11" i="1" s="1"/>
  <c r="N11" i="1" s="1" a="1"/>
  <c r="N11" i="1" s="1"/>
  <c r="A12" i="1" a="1"/>
  <c r="A12" i="1" s="1"/>
  <c r="A14" i="1" a="1"/>
  <c r="A14" i="1" s="1"/>
  <c r="T23" i="1"/>
  <c r="D23" i="1" s="1"/>
  <c r="Q23" i="1" a="1"/>
  <c r="Q23" i="1" s="1"/>
  <c r="P23" i="1"/>
  <c r="T22" i="1"/>
  <c r="D22" i="1" s="1"/>
  <c r="Q22" i="1" a="1"/>
  <c r="Q22" i="1" s="1"/>
  <c r="P22" i="1"/>
  <c r="T21" i="1"/>
  <c r="D21" i="1" s="1"/>
  <c r="Q21" i="1" a="1"/>
  <c r="Q21" i="1" s="1"/>
  <c r="T20" i="1"/>
  <c r="D20" i="1" s="1"/>
  <c r="Q20" i="1" a="1"/>
  <c r="Q20" i="1" s="1"/>
  <c r="P20" i="1"/>
  <c r="T19" i="1"/>
  <c r="D19" i="1" s="1"/>
  <c r="Q19" i="1" a="1"/>
  <c r="Q19" i="1" s="1"/>
  <c r="T11" i="1"/>
  <c r="A6" i="3" s="1"/>
  <c r="T12" i="1"/>
  <c r="A7" i="3" s="1"/>
  <c r="T8" i="1"/>
  <c r="A3" i="3" s="1"/>
  <c r="T9" i="1"/>
  <c r="A4" i="3" s="1"/>
  <c r="T10" i="1"/>
  <c r="A5" i="3" s="1"/>
  <c r="D14" i="1"/>
  <c r="J4" i="2"/>
  <c r="J10" i="2"/>
  <c r="J9" i="2"/>
  <c r="J8" i="2"/>
  <c r="J6" i="2"/>
  <c r="J7" i="2"/>
  <c r="J5" i="2"/>
  <c r="P12" i="1"/>
  <c r="P9" i="1"/>
  <c r="P11" i="1"/>
  <c r="D5" i="2"/>
  <c r="D6" i="2" s="1"/>
  <c r="D7" i="2" s="1"/>
  <c r="D8" i="2" s="1"/>
  <c r="D9" i="2" s="1"/>
  <c r="D10" i="2" s="1"/>
  <c r="D11" i="2" s="1"/>
  <c r="D12" i="2" s="1"/>
  <c r="D13" i="2" s="1"/>
  <c r="D14" i="2" s="1"/>
  <c r="D15" i="2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M9" i="1" a="1"/>
  <c r="M11" i="1" a="1"/>
  <c r="M23" i="1" a="1"/>
  <c r="M20" i="1" a="1"/>
  <c r="M22" i="1" a="1"/>
  <c r="K10" i="2" a="1"/>
  <c r="K9" i="2" a="1"/>
  <c r="I9" i="1" a="1"/>
  <c r="K8" i="2" a="1"/>
  <c r="K6" i="2" a="1"/>
  <c r="K5" i="2" a="1"/>
  <c r="I11" i="1" a="1"/>
  <c r="K4" i="2" a="1"/>
  <c r="K7" i="2" a="1"/>
  <c r="I23" i="1" a="1"/>
  <c r="I20" i="1" a="1"/>
  <c r="I12" i="1" a="1"/>
  <c r="I22" i="1" a="1"/>
  <c r="M11" i="1" l="1"/>
  <c r="M9" i="1"/>
  <c r="M22" i="1"/>
  <c r="M20" i="1"/>
  <c r="M23" i="1"/>
  <c r="Q11" i="1" a="1"/>
  <c r="Q11" i="1" s="1"/>
  <c r="D24" i="1"/>
  <c r="Q8" i="1" a="1"/>
  <c r="Q8" i="1" s="1"/>
  <c r="N8" i="1" a="1"/>
  <c r="N8" i="1" s="1"/>
  <c r="P19" i="1"/>
  <c r="N12" i="1" a="1"/>
  <c r="N12" i="1" s="1"/>
  <c r="Q12" i="1" a="1"/>
  <c r="Q12" i="1" s="1"/>
  <c r="P7" i="1"/>
  <c r="N7" i="1" a="1"/>
  <c r="N7" i="1" s="1"/>
  <c r="Q7" i="1" a="1"/>
  <c r="Q7" i="1" s="1"/>
  <c r="P21" i="1"/>
  <c r="I23" i="1"/>
  <c r="I20" i="1"/>
  <c r="I22" i="1"/>
  <c r="Q9" i="1" a="1"/>
  <c r="Q9" i="1" s="1"/>
  <c r="Q10" i="1" a="1"/>
  <c r="Q10" i="1" s="1"/>
  <c r="I12" i="1"/>
  <c r="I9" i="1"/>
  <c r="I11" i="1"/>
  <c r="K4" i="2"/>
  <c r="L4" i="2" s="1"/>
  <c r="K7" i="1" s="1"/>
  <c r="K10" i="2"/>
  <c r="L10" i="2" s="1"/>
  <c r="K13" i="1" s="1"/>
  <c r="P10" i="1"/>
  <c r="P8" i="1"/>
  <c r="K9" i="2"/>
  <c r="L9" i="2" s="1"/>
  <c r="K5" i="2"/>
  <c r="L5" i="2" s="1"/>
  <c r="K8" i="2"/>
  <c r="L8" i="2" s="1"/>
  <c r="K7" i="2"/>
  <c r="L7" i="2" s="1"/>
  <c r="K6" i="2"/>
  <c r="L6" i="2" s="1"/>
  <c r="M10" i="1" a="1"/>
  <c r="M12" i="1" a="1"/>
  <c r="M8" i="1" a="1"/>
  <c r="M7" i="1" a="1"/>
  <c r="M19" i="1" a="1"/>
  <c r="M21" i="1" a="1"/>
  <c r="I7" i="1" a="1"/>
  <c r="I19" i="1" a="1"/>
  <c r="I10" i="1" a="1"/>
  <c r="I21" i="1" a="1"/>
  <c r="I8" i="1" a="1"/>
  <c r="M7" i="1" l="1"/>
  <c r="M8" i="1"/>
  <c r="M12" i="1"/>
  <c r="M10" i="1"/>
  <c r="M21" i="1"/>
  <c r="O13" i="1"/>
  <c r="J13" i="1" s="1"/>
  <c r="H13" i="1" s="1"/>
  <c r="M19" i="1"/>
  <c r="I19" i="1"/>
  <c r="I7" i="1"/>
  <c r="I21" i="1"/>
  <c r="K8" i="1"/>
  <c r="K19" i="1"/>
  <c r="K12" i="1"/>
  <c r="K23" i="1"/>
  <c r="K9" i="1"/>
  <c r="K20" i="1"/>
  <c r="K10" i="1"/>
  <c r="K21" i="1"/>
  <c r="K11" i="1"/>
  <c r="K22" i="1"/>
  <c r="I8" i="1"/>
  <c r="I10" i="1"/>
  <c r="O12" i="1" l="1"/>
  <c r="J12" i="1" s="1"/>
  <c r="H12" i="1" s="1"/>
  <c r="S12" i="1" s="1" a="1"/>
  <c r="S12" i="1" s="1"/>
  <c r="G12" i="1" s="1"/>
  <c r="O11" i="1"/>
  <c r="J11" i="1" s="1"/>
  <c r="H11" i="1" s="1"/>
  <c r="S11" i="1" s="1" a="1"/>
  <c r="S11" i="1" s="1"/>
  <c r="G11" i="1" s="1"/>
  <c r="O8" i="1"/>
  <c r="J8" i="1" s="1"/>
  <c r="H8" i="1" s="1"/>
  <c r="O10" i="1"/>
  <c r="J10" i="1" s="1"/>
  <c r="H10" i="1" s="1"/>
  <c r="O9" i="1"/>
  <c r="J9" i="1" s="1"/>
  <c r="H9" i="1" s="1"/>
  <c r="R9" i="1" s="1"/>
  <c r="B4" i="3" s="1"/>
  <c r="O19" i="1"/>
  <c r="J19" i="1" s="1"/>
  <c r="H19" i="1" s="1"/>
  <c r="O23" i="1"/>
  <c r="J23" i="1" s="1"/>
  <c r="H23" i="1" s="1"/>
  <c r="O21" i="1"/>
  <c r="J21" i="1" s="1"/>
  <c r="H21" i="1" s="1"/>
  <c r="O22" i="1"/>
  <c r="J22" i="1" s="1"/>
  <c r="H22" i="1" s="1"/>
  <c r="O20" i="1"/>
  <c r="J20" i="1" s="1"/>
  <c r="H20" i="1" s="1"/>
  <c r="O7" i="1"/>
  <c r="J7" i="1" s="1"/>
  <c r="H7" i="1" s="1"/>
  <c r="S7" i="1" s="1"/>
  <c r="G7" i="1" s="1"/>
  <c r="S13" i="1" a="1"/>
  <c r="S13" i="1" s="1"/>
  <c r="G13" i="1" s="1"/>
  <c r="R13" i="1" a="1"/>
  <c r="R13" i="1" s="1"/>
  <c r="R7" i="1" l="1"/>
  <c r="E7" i="1" s="1"/>
  <c r="E13" i="1"/>
  <c r="B8" i="3"/>
  <c r="R12" i="1" a="1"/>
  <c r="R12" i="1" s="1"/>
  <c r="B7" i="3" s="1"/>
  <c r="R11" i="1" a="1"/>
  <c r="R11" i="1" s="1"/>
  <c r="B6" i="3" s="1"/>
  <c r="S9" i="1"/>
  <c r="G9" i="1" s="1"/>
  <c r="S21" i="1"/>
  <c r="G21" i="1" s="1"/>
  <c r="R21" i="1"/>
  <c r="E21" i="1" s="1"/>
  <c r="S23" i="1" a="1"/>
  <c r="S23" i="1" s="1"/>
  <c r="G23" i="1" s="1"/>
  <c r="R23" i="1" a="1"/>
  <c r="R23" i="1" s="1"/>
  <c r="E23" i="1" s="1"/>
  <c r="R19" i="1"/>
  <c r="E19" i="1" s="1"/>
  <c r="S19" i="1"/>
  <c r="G19" i="1" s="1"/>
  <c r="S22" i="1" a="1"/>
  <c r="S22" i="1" s="1"/>
  <c r="G22" i="1" s="1"/>
  <c r="R22" i="1" a="1"/>
  <c r="R22" i="1" s="1"/>
  <c r="E22" i="1" s="1"/>
  <c r="S20" i="1"/>
  <c r="G20" i="1" s="1"/>
  <c r="R20" i="1"/>
  <c r="E20" i="1" s="1"/>
  <c r="E9" i="1"/>
  <c r="R10" i="1"/>
  <c r="B5" i="3" s="1"/>
  <c r="S10" i="1"/>
  <c r="G10" i="1" s="1"/>
  <c r="R8" i="1"/>
  <c r="B3" i="3" s="1"/>
  <c r="S8" i="1"/>
  <c r="G8" i="1" s="1"/>
  <c r="B2" i="3" l="1"/>
  <c r="F23" i="1"/>
  <c r="F31" i="1" s="1"/>
  <c r="G24" i="1"/>
  <c r="E12" i="1"/>
  <c r="E11" i="1"/>
  <c r="F20" i="1"/>
  <c r="F30" i="1" s="1"/>
  <c r="E24" i="1"/>
  <c r="G14" i="1"/>
  <c r="E10" i="1"/>
  <c r="E8" i="1"/>
  <c r="F12" i="1" l="1"/>
  <c r="F24" i="1"/>
  <c r="F29" i="1" s="1"/>
  <c r="F9" i="1"/>
  <c r="E14" i="1"/>
  <c r="F1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<sst xmlns="http://schemas.openxmlformats.org/spreadsheetml/2006/main" count="119" uniqueCount="59">
  <si>
    <t>Vcto</t>
  </si>
  <si>
    <t>papel</t>
  </si>
  <si>
    <t>LTN</t>
  </si>
  <si>
    <t>NTN-F</t>
  </si>
  <si>
    <t>Ticker</t>
  </si>
  <si>
    <t>Ticker DI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</si>
  <si>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</si>
  <si>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</si>
  <si>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</si>
  <si>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</si>
  <si>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</si>
  <si>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</si>
  <si>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</si>
  <si>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</si>
  <si>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</si>
  <si>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</si>
  <si>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</si>
  <si>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</si>
  <si>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cod</t>
  </si>
  <si>
    <t>n</t>
  </si>
  <si>
    <t>mes</t>
  </si>
  <si>
    <t>PX DI</t>
  </si>
  <si>
    <t>Casada</t>
  </si>
  <si>
    <t>ID_CUSIP</t>
  </si>
  <si>
    <t>Ticker papel</t>
  </si>
  <si>
    <t>Ticker ANDE</t>
  </si>
  <si>
    <t>Data</t>
  </si>
  <si>
    <t>yield d-1</t>
  </si>
  <si>
    <t>DI d-1</t>
  </si>
  <si>
    <t>dt d-1</t>
  </si>
  <si>
    <t>Casada d-1</t>
  </si>
  <si>
    <t>Yield</t>
  </si>
  <si>
    <t>DU</t>
  </si>
  <si>
    <t>DV unit</t>
  </si>
  <si>
    <t>Lote mm</t>
  </si>
  <si>
    <t>DV K</t>
  </si>
  <si>
    <t>Total</t>
  </si>
  <si>
    <t>PU</t>
  </si>
  <si>
    <t>Fin bln</t>
  </si>
  <si>
    <t>Cod</t>
  </si>
  <si>
    <t>Des</t>
  </si>
  <si>
    <t>File</t>
  </si>
  <si>
    <t>Existe?</t>
  </si>
  <si>
    <t>Loaded?</t>
  </si>
  <si>
    <t>OK?</t>
  </si>
  <si>
    <t>OK TT?</t>
  </si>
  <si>
    <t>Titulo</t>
  </si>
  <si>
    <t>Qtd_mm</t>
  </si>
  <si>
    <t>Adquirente</t>
  </si>
  <si>
    <t>01.04.2022</t>
  </si>
  <si>
    <t>Público</t>
  </si>
  <si>
    <t>01.01.2023</t>
  </si>
  <si>
    <t>01.07.2024</t>
  </si>
  <si>
    <t>01.01.2029</t>
  </si>
  <si>
    <t>01.01.2031</t>
  </si>
  <si>
    <t>D:\Dropbox\FYY\Trading\Projects\TN_Leiloes\DV_unit.csv</t>
  </si>
  <si>
    <t>Loop?</t>
  </si>
  <si>
    <t>Repeat</t>
  </si>
  <si>
    <t>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</si>
</sst>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_ ;[Red]\-#,##0.0\ "/>
    <numFmt numFmtId="165" formatCode="#,##0;\-#,##0;\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Alignment="1">
      <alignment horizontal="center"/>
    </xf>
    <xf numFmtId="0" fontId="0" fillId="2" borderId="0" xfId="0" applyFill="1"/>
    <xf numFmtId="4" fontId="0" fillId="0" borderId="0" xfId="0" applyNumberFormat="1"/>
    <xf numFmtId="164" fontId="0" fillId="0" borderId="0" xfId="0" applyNumberFormat="1"/>
    <xf numFmtId="3" fontId="0" fillId="0" borderId="0" xfId="0" applyNumberFormat="1"/>
    <xf numFmtId="4" fontId="0" fillId="3" borderId="0" xfId="0" applyNumberFormat="1" applyFill="1"/>
    <xf numFmtId="3" fontId="0" fillId="3" borderId="0" xfId="0" applyNumberFormat="1" applyFill="1"/>
    <xf numFmtId="3" fontId="0" fillId="0" borderId="1" xfId="0" applyNumberFormat="1" applyBorder="1"/>
    <xf numFmtId="3" fontId="0" fillId="0" borderId="2" xfId="0" applyNumberFormat="1" applyBorder="1"/>
    <xf numFmtId="3" fontId="0" fillId="0" borderId="3" xfId="0" applyNumberFormat="1" applyBorder="1"/>
    <xf numFmtId="0" fontId="2" fillId="0" borderId="0" xfId="0" applyFont="1"/>
    <xf numFmtId="0" fontId="1" fillId="4" borderId="0" xfId="0" applyFont="1" applyFill="1"/>
    <xf numFmtId="21" fontId="0" fillId="0" borderId="0" xfId="0" applyNumberFormat="1"/>
    <xf numFmtId="21" fontId="1" fillId="4" borderId="0" xfId="0" applyNumberFormat="1" applyFont="1" applyFill="1"/>
    <xf numFmtId="0" fontId="0" fillId="3" borderId="0" xfId="0" applyFill="1"/>
    <xf numFmtId="0" fontId="0" fillId="0" borderId="4" xfId="0" applyBorder="1"/>
    <xf numFmtId="4" fontId="0" fillId="0" borderId="5" xfId="0" applyNumberFormat="1" applyBorder="1"/>
    <xf numFmtId="3" fontId="0" fillId="0" borderId="5" xfId="0" applyNumberFormat="1" applyBorder="1"/>
    <xf numFmtId="4" fontId="0" fillId="0" borderId="6" xfId="0" applyNumberFormat="1" applyBorder="1"/>
    <xf numFmtId="0" fontId="0" fillId="0" borderId="7" xfId="0" applyBorder="1"/>
    <xf numFmtId="4" fontId="0" fillId="0" borderId="0" xfId="0" applyNumberFormat="1" applyBorder="1"/>
    <xf numFmtId="3" fontId="0" fillId="0" borderId="0" xfId="0" applyNumberFormat="1" applyBorder="1"/>
    <xf numFmtId="4" fontId="0" fillId="0" borderId="8" xfId="0" applyNumberFormat="1" applyBorder="1"/>
    <xf numFmtId="0" fontId="0" fillId="0" borderId="9" xfId="0" applyBorder="1"/>
    <xf numFmtId="4" fontId="0" fillId="0" borderId="10" xfId="0" applyNumberFormat="1" applyBorder="1"/>
    <xf numFmtId="3" fontId="0" fillId="0" borderId="10" xfId="0" applyNumberFormat="1" applyBorder="1"/>
    <xf numFmtId="4" fontId="0" fillId="0" borderId="11" xfId="0" applyNumberFormat="1" applyBorder="1"/>
    <xf numFmtId="165" fontId="1" fillId="0" borderId="12" xfId="0" applyNumberFormat="1" applyFont="1" applyBorder="1"/>
    <xf numFmtId="165" fontId="1" fillId="0" borderId="13" xfId="0" applyNumberFormat="1" applyFont="1" applyBorder="1"/>
    <xf numFmtId="165" fontId="1" fillId="0" borderId="14" xfId="0" applyNumberFormat="1" applyFont="1" applyBorder="1"/>
    <xf numFmtId="165" fontId="1" fillId="0" borderId="15" xfId="0" applyNumberFormat="1" applyFont="1" applyBorder="1"/>
    <xf numFmtId="3" fontId="1" fillId="3" borderId="16" xfId="0" applyNumberFormat="1" applyFont="1" applyFill="1" applyBorder="1"/>
    <xf numFmtId="17" fontId="0" fillId="2" borderId="5" xfId="0" applyNumberFormat="1" applyFill="1" applyBorder="1"/>
    <xf numFmtId="17" fontId="0" fillId="2" borderId="0" xfId="0" applyNumberFormat="1" applyFill="1" applyBorder="1"/>
    <xf numFmtId="17" fontId="0" fillId="2" borderId="10" xfId="0" applyNumberFormat="1" applyFill="1" applyBorder="1"/>
  </cellXfs>
  <cellStyles count="1">
    <cellStyle name="Normal" xfId="0" builtinId="0"/>
  </cellStyles>
  <dxfs count="14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numFmt numFmtId="0" formatCode="General"/>
    </dxf>
    <dxf>
      <fill>
        <patternFill patternType="solid">
          <fgColor indexed="64"/>
          <bgColor rgb="FFFFFF99"/>
        </patternFill>
      </fill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BDH|17718550767766343857</stp>
        <tr r="L10" s="1"/>
      </tp>
      <tp t="e">
        <v>#N/A</v>
        <stp/>
        <stp>BDH|15000515560614781887</stp>
        <tr r="M12" s="1"/>
      </tp>
      <tp t="e">
        <v>#N/A</v>
        <stp/>
        <stp>BDH|15711689137699519277</stp>
        <tr r="M21" s="1"/>
      </tp>
      <tp t="e">
        <v>#N/A</v>
        <stp/>
        <stp>BDH|10528297416678840363</stp>
        <tr r="M13" s="1"/>
      </tp>
      <tp t="s">
        <v>#N/A N/A</v>
        <stp/>
        <stp>BDH|11136773899015981348</stp>
        <tr r="L7" s="1"/>
      </tp>
    </main>
    <main first="bloomberg.rtd">
      <tp t="s">
        <v>ZP2084801</v>
        <stp/>
        <stp>##V3_BDPV12</stp>
        <stp>BNTNF 10 01/01/31 Corp</stp>
        <stp>ID_CUSIP</stp>
        <stp>[TN_LEILAO.xlsm]Ctrl!R10C11</stp>
        <tr r="K10" s="2"/>
      </tp>
      <tp t="s">
        <v>JV5341526</v>
        <stp/>
        <stp>##V3_BDPV12</stp>
        <stp>BNTNF 10 01/01/27 Corp</stp>
        <stp>ID_CUSIP</stp>
        <stp>[TN_LEILAO.xlsm]Ctrl!R8C11</stp>
        <tr r="K8" s="2"/>
      </tp>
      <tp t="s">
        <v>AQ6084745</v>
        <stp/>
        <stp>##V3_BDPV12</stp>
        <stp>BNTNF 10 01/01/29 Corp</stp>
        <stp>ID_CUSIP</stp>
        <stp>[TN_LEILAO.xlsm]Ctrl!R9C11</stp>
        <tr r="K9" s="2"/>
      </tp>
    </main>
    <main first="bofaddin.rtdserver">
      <tp t="s">
        <v>#N/A N/A</v>
        <stp/>
        <stp>BDH|11365535084390756091</stp>
        <tr r="L9" s="1"/>
      </tp>
      <tp t="e">
        <v>#N/A</v>
        <stp/>
        <stp>BDH|13732128541272689668</stp>
        <tr r="M8" s="1"/>
      </tp>
      <tp t="s">
        <v>#N/A N/A</v>
        <stp/>
        <stp>BDH|10738865985750694040</stp>
        <tr r="L8" s="1"/>
      </tp>
    </main>
    <main first="bofaddin.rtdserver">
      <tp t="s">
        <v>#N/A N/A</v>
        <stp/>
        <stp>BDH|9504348613586907162</stp>
        <tr r="L12" s="1"/>
      </tp>
      <tp t="e">
        <v>#N/A</v>
        <stp/>
        <stp>BDH|1632354972924109938</stp>
        <tr r="M20" s="1"/>
      </tp>
    </main>
    <main first="bloomberg.rtd">
      <tp>
        <v>6.36</v>
        <stp/>
        <stp>##V3_BDPV12</stp>
        <stp>odN24 comdty</stp>
        <stp>last price</stp>
        <stp>[TN_LEILAO.xlsm]LEILAO!R10C9</stp>
        <tr r="I10" s="1"/>
      </tp>
      <tp>
        <v>5.08</v>
        <stp/>
        <stp>##V3_BDPV12</stp>
        <stp>odF23 comdty</stp>
        <stp>last price</stp>
        <stp>[TN_LEILAO.xlsm]LEILAO!R20C9</stp>
        <tr r="I20" s="1"/>
      </tp>
    </main>
    <main first="bofaddin.rtdserver">
      <tp t="e">
        <v>#N/A</v>
        <stp/>
        <stp>BDH|8034262755716496027</stp>
        <tr r="M19" s="1"/>
      </tp>
    </main>
    <main first="bloomberg.rtd">
      <tp>
        <v>6.36</v>
        <stp/>
        <stp>##V3_BDPV12</stp>
        <stp>odN24 comdty</stp>
        <stp>last price</stp>
        <stp>[TN_LEILAO.xlsm]LEILAO!R21C9</stp>
        <tr r="I21" s="1"/>
      </tp>
      <tp>
        <v>7.25</v>
        <stp/>
        <stp>##V3_BDPV12</stp>
        <stp>odF27 comdty</stp>
        <stp>last price</stp>
        <stp>[TN_LEILAO.xlsm]LEILAO!R11C9</stp>
        <tr r="I11" s="1"/>
      </tp>
      <tp>
        <v>7.68</v>
        <stp/>
        <stp>##V3_BDPV12</stp>
        <stp>odF29 comdty</stp>
        <stp>last price</stp>
        <stp>[TN_LEILAO.xlsm]LEILAO!R12C9</stp>
        <tr r="I12" s="1"/>
      </tp>
      <tp>
        <v>7.68</v>
        <stp/>
        <stp>##V3_BDPV12</stp>
        <stp>odF29 comdty</stp>
        <stp>last price</stp>
        <stp>[TN_LEILAO.xlsm]LEILAO!R22C9</stp>
        <tr r="I22" s="1"/>
      </tp>
    </main>
    <main first="bofaddin.rtdserver">
      <tp t="s">
        <v>#N/A N/A</v>
        <stp/>
        <stp>BDH|8645597397928894729</stp>
        <tr r="L19" s="1"/>
      </tp>
    </main>
    <main first="bloomberg.rtd">
      <tp>
        <v>7.99</v>
        <stp/>
        <stp>##V3_BDPV12</stp>
        <stp>odF31 comdty</stp>
        <stp>last price</stp>
        <stp>[TN_LEILAO.xlsm]LEILAO!R13C9</stp>
        <tr r="I13" s="1"/>
      </tp>
      <tp>
        <v>7.99</v>
        <stp/>
        <stp>##V3_BDPV12</stp>
        <stp>odF31 comdty</stp>
        <stp>last price</stp>
        <stp>[TN_LEILAO.xlsm]LEILAO!R23C9</stp>
        <tr r="I23" s="1"/>
      </tp>
    </main>
    <main first="bofaddin.rtdserver">
      <tp t="s">
        <v>#N/A N/A</v>
        <stp/>
        <stp>BDH|2747078902575632370</stp>
        <tr r="L13" s="1"/>
      </tp>
      <tp t="e">
        <v>#N/A</v>
        <stp/>
        <stp>BDH|4947147701886639575</stp>
        <tr r="M10" s="1"/>
      </tp>
      <tp t="s">
        <v>#N/A N/A</v>
        <stp/>
        <stp>BDH|5745973697812479141</stp>
        <tr r="L23" s="1"/>
      </tp>
      <tp t="s">
        <v>#N/A N/A</v>
        <stp/>
        <stp>BDH|2930308442362959168</stp>
        <tr r="L22" s="1"/>
      </tp>
      <tp t="e">
        <v>#N/A</v>
        <stp/>
        <stp>BDH|6670702449964791649</stp>
        <tr r="M7" s="1"/>
      </tp>
      <tp t="e">
        <v>#N/A</v>
        <stp/>
        <stp>BDH|4176470079677937727</stp>
        <tr r="M11" s="1"/>
      </tp>
      <tp t="e">
        <v>#N/A</v>
        <stp/>
        <stp>BDH|4796344877517252756</stp>
        <tr r="M22" s="1"/>
      </tp>
      <tp t="e">
        <v>#N/A</v>
        <stp/>
        <stp>BDH|8150550065128732213</stp>
        <tr r="M23" s="1"/>
      </tp>
    </main>
    <main first="bloomberg.rtd">
      <tp>
        <v>3.94</v>
        <stp/>
        <stp>##V3_BDPV12</stp>
        <stp>odJ22 comdty</stp>
        <stp>last price</stp>
        <stp>[TN_LEILAO.xlsm]LEILAO!R19C9</stp>
        <tr r="I19" s="1"/>
      </tp>
      <tp t="s">
        <v>AW7021172</v>
        <stp/>
        <stp>##V3_BDPV12</stp>
        <stp>BLTN 0 10/01/21 Corp</stp>
        <stp>ID_CUSIP</stp>
        <stp>[TN_LEILAO.xlsm]Ctrl!R5C11</stp>
        <tr r="K5" s="2"/>
      </tp>
      <tp t="s">
        <v>ZP2084736</v>
        <stp/>
        <stp>##V3_BDPV12</stp>
        <stp>BLTN 0 04/01/22 Corp</stp>
        <stp>ID_CUSIP</stp>
        <stp>[TN_LEILAO.xlsm]Ctrl!R4C11</stp>
        <tr r="K4" s="2"/>
      </tp>
      <tp t="s">
        <v>BN3592365</v>
        <stp/>
        <stp>##V3_BDPV12</stp>
        <stp>BLTN 0 01/01/23 Corp</stp>
        <stp>ID_CUSIP</stp>
        <stp>[TN_LEILAO.xlsm]Ctrl!R6C11</stp>
        <tr r="K6" s="2"/>
      </tp>
      <tp t="s">
        <v>BN3592373</v>
        <stp/>
        <stp>##V3_BDPV12</stp>
        <stp>BLTN 0 07/01/24 Corp</stp>
        <stp>ID_CUSIP</stp>
        <stp>[TN_LEILAO.xlsm]Ctrl!R7C11</stp>
        <tr r="K7" s="2"/>
      </tp>
    </main>
    <main first="bofaddin.rtdserver">
      <tp t="s">
        <v>#N/A N/A</v>
        <stp/>
        <stp>BDH|3475376244181066720</stp>
        <tr r="L20" s="1"/>
      </tp>
      <tp t="s">
        <v>#N/A N/A</v>
        <stp/>
        <stp>BDH|3387233189558476218</stp>
        <tr r="L11" s="1"/>
      </tp>
      <tp t="s">
        <v>#N/A N/A</v>
        <stp/>
        <stp>BDH|2256009833157437539</stp>
        <tr r="L21" s="1"/>
      </tp>
      <tp t="e">
        <v>#N/A</v>
        <stp/>
        <stp>BDH|515870462593767970</stp>
        <tr r="M9" s="1"/>
      </tp>
    </main>
    <main first="bloomberg.rtd">
      <tp>
        <v>2.9350000000000001</v>
        <stp/>
        <stp>##V3_BDPV12</stp>
        <stp>odV21 comdty</stp>
        <stp>last price</stp>
        <stp>[TN_LEILAO.xlsm]LEILAO!R8C9</stp>
        <tr r="I8" s="1"/>
      </tp>
      <tp>
        <v>5.08</v>
        <stp/>
        <stp>##V3_BDPV12</stp>
        <stp>odF23 comdty</stp>
        <stp>last price</stp>
        <stp>[TN_LEILAO.xlsm]LEILAO!R9C9</stp>
        <tr r="I9" s="1"/>
      </tp>
      <tp>
        <v>3.94</v>
        <stp/>
        <stp>##V3_BDPV12</stp>
        <stp>odJ22 comdty</stp>
        <stp>last price</stp>
        <stp>[TN_LEILAO.xlsm]LEILAO!R7C9</stp>
        <tr r="I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0</xdr:row>
      <xdr:rowOff>171450</xdr:rowOff>
    </xdr:from>
    <xdr:to>
      <xdr:col>12</xdr:col>
      <xdr:colOff>238125</xdr:colOff>
      <xdr:row>3</xdr:row>
      <xdr:rowOff>47626</xdr:rowOff>
    </xdr:to>
    <xdr:sp macro="[0]!carrega_d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CEAD762-64B4-4AB0-92CF-FB309637EDF8}"/>
            </a:ext>
          </a:extLst>
        </xdr:cNvPr>
        <xdr:cNvSpPr/>
      </xdr:nvSpPr>
      <xdr:spPr>
        <a:xfrm>
          <a:off x="7886700" y="171450"/>
          <a:ext cx="819150" cy="447676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Carrega</a:t>
          </a:r>
        </a:p>
        <a:p>
          <a:pPr algn="ctr"/>
          <a:r>
            <a:rPr lang="pt-BR" sz="900" b="1"/>
            <a:t>1X</a:t>
          </a:r>
        </a:p>
      </xdr:txBody>
    </xdr:sp>
    <xdr:clientData/>
  </xdr:twoCellAnchor>
  <xdr:twoCellAnchor>
    <xdr:from>
      <xdr:col>8</xdr:col>
      <xdr:colOff>0</xdr:colOff>
      <xdr:row>0</xdr:row>
      <xdr:rowOff>171450</xdr:rowOff>
    </xdr:from>
    <xdr:to>
      <xdr:col>9</xdr:col>
      <xdr:colOff>209550</xdr:colOff>
      <xdr:row>3</xdr:row>
      <xdr:rowOff>38100</xdr:rowOff>
    </xdr:to>
    <xdr:sp macro="[0]!atualiza_DV_unit_CSV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062F957-4C57-4C69-87B9-FFCE5D0A6F25}"/>
            </a:ext>
          </a:extLst>
        </xdr:cNvPr>
        <xdr:cNvSpPr/>
      </xdr:nvSpPr>
      <xdr:spPr>
        <a:xfrm>
          <a:off x="6029325" y="171450"/>
          <a:ext cx="819150" cy="4381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DV unit</a:t>
          </a:r>
        </a:p>
      </xdr:txBody>
    </xdr:sp>
    <xdr:clientData/>
  </xdr:twoCellAnchor>
  <xdr:twoCellAnchor>
    <xdr:from>
      <xdr:col>9</xdr:col>
      <xdr:colOff>304800</xdr:colOff>
      <xdr:row>0</xdr:row>
      <xdr:rowOff>161925</xdr:rowOff>
    </xdr:from>
    <xdr:to>
      <xdr:col>10</xdr:col>
      <xdr:colOff>514350</xdr:colOff>
      <xdr:row>3</xdr:row>
      <xdr:rowOff>38101</xdr:rowOff>
    </xdr:to>
    <xdr:sp macro="[0]!limpa_ultimo_leila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62458A4-31A4-4FF7-8A0B-D2393B0C8519}"/>
            </a:ext>
          </a:extLst>
        </xdr:cNvPr>
        <xdr:cNvSpPr/>
      </xdr:nvSpPr>
      <xdr:spPr>
        <a:xfrm>
          <a:off x="6943725" y="161925"/>
          <a:ext cx="819150" cy="447676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</a:t>
          </a:r>
        </a:p>
      </xdr:txBody>
    </xdr:sp>
    <xdr:clientData/>
  </xdr:twoCellAnchor>
  <xdr:twoCellAnchor>
    <xdr:from>
      <xdr:col>12</xdr:col>
      <xdr:colOff>400050</xdr:colOff>
      <xdr:row>0</xdr:row>
      <xdr:rowOff>161925</xdr:rowOff>
    </xdr:from>
    <xdr:to>
      <xdr:col>13</xdr:col>
      <xdr:colOff>609600</xdr:colOff>
      <xdr:row>3</xdr:row>
      <xdr:rowOff>38101</xdr:rowOff>
    </xdr:to>
    <xdr:sp macro="[0]!Carrega_Loo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3EF113B-D06D-4B77-B460-0AB0552546D8}"/>
            </a:ext>
          </a:extLst>
        </xdr:cNvPr>
        <xdr:cNvSpPr/>
      </xdr:nvSpPr>
      <xdr:spPr>
        <a:xfrm>
          <a:off x="8867775" y="161925"/>
          <a:ext cx="819150" cy="447676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Carrega</a:t>
          </a:r>
        </a:p>
        <a:p>
          <a:pPr algn="ctr"/>
          <a:r>
            <a:rPr lang="pt-BR" sz="900" b="1"/>
            <a:t>LOOP</a:t>
          </a:r>
        </a:p>
      </xdr:txBody>
    </xdr:sp>
    <xdr:clientData/>
  </xdr:twoCellAnchor>
  <xdr:twoCellAnchor>
    <xdr:from>
      <xdr:col>16</xdr:col>
      <xdr:colOff>571500</xdr:colOff>
      <xdr:row>0</xdr:row>
      <xdr:rowOff>142875</xdr:rowOff>
    </xdr:from>
    <xdr:to>
      <xdr:col>18</xdr:col>
      <xdr:colOff>171450</xdr:colOff>
      <xdr:row>3</xdr:row>
      <xdr:rowOff>19051</xdr:rowOff>
    </xdr:to>
    <xdr:sp macro="[0]!stop_loop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B0E0A6D-B8F5-4D90-A988-9ECAD7F7A535}"/>
            </a:ext>
          </a:extLst>
        </xdr:cNvPr>
        <xdr:cNvSpPr/>
      </xdr:nvSpPr>
      <xdr:spPr>
        <a:xfrm>
          <a:off x="11582400" y="142875"/>
          <a:ext cx="819150" cy="447676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STOP LOOP</a:t>
          </a:r>
        </a:p>
      </xdr:txBody>
    </xdr:sp>
    <xdr:clientData/>
  </xdr:twoCellAnchor>
  <xdr:twoCellAnchor>
    <xdr:from>
      <xdr:col>19</xdr:col>
      <xdr:colOff>133349</xdr:colOff>
      <xdr:row>0</xdr:row>
      <xdr:rowOff>152399</xdr:rowOff>
    </xdr:from>
    <xdr:to>
      <xdr:col>21</xdr:col>
      <xdr:colOff>419100</xdr:colOff>
      <xdr:row>3</xdr:row>
      <xdr:rowOff>38100</xdr:rowOff>
    </xdr:to>
    <xdr:sp macro="[0]!apaga_arquivos_leila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1C4C2EA-4B70-4529-B970-3C1DB6D04459}"/>
            </a:ext>
          </a:extLst>
        </xdr:cNvPr>
        <xdr:cNvSpPr/>
      </xdr:nvSpPr>
      <xdr:spPr>
        <a:xfrm>
          <a:off x="12973049" y="152399"/>
          <a:ext cx="1504951" cy="457201"/>
        </a:xfrm>
        <a:prstGeom prst="roundRect">
          <a:avLst/>
        </a:prstGeom>
        <a:ln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Apaga arquivos leilão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63B803-E593-444A-97BE-83929534B40C}" name="tCOD" displayName="tCOD" ref="B3:D15" totalsRowShown="0" headerRowDxfId="13" dataDxfId="12">
  <autoFilter ref="B3:D15" xr:uid="{8DC9B3FF-664B-4E2E-A9CA-2380A61F7390}"/>
  <tableColumns count="3">
    <tableColumn id="1" xr3:uid="{F3578093-C5FF-47F6-9E8D-EDA2A8AF0ACB}" name="n" dataDxfId="11">
      <calculatedColumnFormula>B3+1</calculatedColumnFormula>
    </tableColumn>
    <tableColumn id="2" xr3:uid="{78BA7F1B-8437-4401-9A95-F5F4D8BC5090}" name="cod" dataDxfId="10"/>
    <tableColumn id="3" xr3:uid="{E649E4E5-AE4B-4881-9005-34E0C1115C32}" name="mes" dataDxfId="9">
      <calculatedColumnFormula>D3+1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2E49E5-879A-432B-97FC-8022903F54D6}" name="tCADASTRO" displayName="tCADASTRO" ref="H3:L10" totalsRowShown="0" headerRowDxfId="8">
  <autoFilter ref="H3:L10" xr:uid="{8C114123-4438-4DCF-B202-4122A4C5BF1E}"/>
  <tableColumns count="5">
    <tableColumn id="1" xr3:uid="{42B455A7-A7A8-4006-AC20-BD2132FCC169}" name="papel"/>
    <tableColumn id="2" xr3:uid="{1EBEDB6A-A6A9-496C-A3D1-CFEC21DB229A}" name="Vcto" dataDxfId="7"/>
    <tableColumn id="3" xr3:uid="{40CC3642-6EAE-4098-926B-B60243FED143}" name="Ticker" dataDxfId="6"/>
    <tableColumn id="4" xr3:uid="{98FF4CD9-712D-4CF9-9C5A-1E4F650118ED}" name="ID_CUSIP">
      <calculatedColumnFormula array="1">_xll.BDP($J4,K$3)</calculatedColumnFormula>
    </tableColumn>
    <tableColumn id="5" xr3:uid="{9D41B0BE-0823-4020-AC73-0390E57737A9}" name="Ticker ANDE" dataDxfId="5">
      <calculatedColumnFormula>tCADASTRO[[#This Row],[ID_CUSIP]]&amp;"@ANDE corp"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62FD-D21B-4557-98A1-2A843D2F3805}">
  <sheetPr codeName="Sheet1"/>
  <dimension ref="B3:L15"/>
  <sheetViews>
    <sheetView showGridLines="0" tabSelected="1" workbookViewId="0">
      <selection activeCell="L3" sqref="L3"/>
    </sheetView>
  </sheetViews>
  <sheetFormatPr defaultRowHeight="15" x14ac:dyDescent="0.25"/>
  <cols>
    <col min="9" max="9" width="10.7109375" bestFit="1" customWidth="1"/>
    <col min="10" max="10" width="19.85546875" bestFit="1" customWidth="1"/>
    <col min="11" max="11" width="11.28515625" customWidth="1"/>
  </cols>
  <sheetData>
    <row r="3" spans="2:12" x14ac:dyDescent="0.25">
      <c r="B3" s="3" t="s">
        <v>19</v>
      </c>
      <c r="C3" s="3" t="s">
        <v>18</v>
      </c>
      <c r="D3" s="3" t="s">
        <v>20</v>
      </c>
      <c r="H3" s="2" t="s">
        <v>1</v>
      </c>
      <c r="I3" s="2" t="s">
        <v>0</v>
      </c>
      <c r="J3" s="2" t="s">
        <v>4</v>
      </c>
      <c r="K3" s="2" t="s">
        <v>23</v>
      </c>
      <c r="L3" s="2" t="s">
        <v>25</v>
      </c>
    </row>
    <row r="4" spans="2:12" x14ac:dyDescent="0.25">
      <c r="B4" s="3">
        <v>1</v>
      </c>
      <c r="C4" s="3" t="s">
        <v>6</v>
      </c>
      <c r="D4" s="3">
        <v>1</v>
      </c>
      <c r="H4" t="s">
        <v>2</v>
      </c>
      <c r="I4" s="1">
        <v>44652</v>
      </c>
      <c r="J4" t="str">
        <f>"BLTN 0 " &amp; TEXT(I4,"mm/dd/aa") &amp; " Corp"</f>
        <v>BLTN 0 04/01/22 Corp</v>
      </c>
      <c r="K4" t="str" cm="1">
        <f t="array" ref="K4">_xll.BDP($J4,K$3)</f>
        <v>ZP2084736</v>
      </c>
      <c r="L4" t="str">
        <f>tCADASTRO[[#This Row],[ID_CUSIP]]&amp;"@ANDE corp"</f>
        <v>ZP2084736@ANDE corp</v>
      </c>
    </row>
    <row r="5" spans="2:12" x14ac:dyDescent="0.25">
      <c r="B5" s="3">
        <f>B4+1</f>
        <v>2</v>
      </c>
      <c r="C5" s="3" t="s">
        <v>7</v>
      </c>
      <c r="D5" s="3">
        <f>D4+1</f>
        <v>2</v>
      </c>
      <c r="H5" t="s">
        <v>2</v>
      </c>
      <c r="I5" s="1">
        <v>44470</v>
      </c>
      <c r="J5" t="str">
        <f>"BLTN 0 " &amp; TEXT(I5,"mm/dd/aa") &amp; " Corp"</f>
        <v>BLTN 0 10/01/21 Corp</v>
      </c>
      <c r="K5" t="str" cm="1">
        <f t="array" ref="K5">_xll.BDP($J5,K$3)</f>
        <v>AW7021172</v>
      </c>
      <c r="L5" t="str">
        <f>tCADASTRO[[#This Row],[ID_CUSIP]]&amp;"@ANDE corp"</f>
        <v>AW7021172@ANDE corp</v>
      </c>
    </row>
    <row r="6" spans="2:12" x14ac:dyDescent="0.25">
      <c r="B6" s="3">
        <f t="shared" ref="B6:D15" si="0">B5+1</f>
        <v>3</v>
      </c>
      <c r="C6" s="3" t="s">
        <v>8</v>
      </c>
      <c r="D6" s="3">
        <f t="shared" si="0"/>
        <v>3</v>
      </c>
      <c r="H6" t="s">
        <v>2</v>
      </c>
      <c r="I6" s="1">
        <v>44927</v>
      </c>
      <c r="J6" t="str">
        <f t="shared" ref="J6:J7" si="1">"BLTN 0 " &amp; TEXT(I6,"mm/dd/aa") &amp; " Corp"</f>
        <v>BLTN 0 01/01/23 Corp</v>
      </c>
      <c r="K6" t="str" cm="1">
        <f t="array" ref="K6">_xll.BDP($J6,K$3)</f>
        <v>BN3592365</v>
      </c>
      <c r="L6" t="str">
        <f>tCADASTRO[[#This Row],[ID_CUSIP]]&amp;"@ANDE corp"</f>
        <v>BN3592365@ANDE corp</v>
      </c>
    </row>
    <row r="7" spans="2:12" x14ac:dyDescent="0.25">
      <c r="B7" s="3">
        <f t="shared" si="0"/>
        <v>4</v>
      </c>
      <c r="C7" s="3" t="s">
        <v>9</v>
      </c>
      <c r="D7" s="3">
        <f t="shared" si="0"/>
        <v>4</v>
      </c>
      <c r="H7" t="s">
        <v>2</v>
      </c>
      <c r="I7" s="1">
        <v>45474</v>
      </c>
      <c r="J7" t="str">
        <f t="shared" si="1"/>
        <v>BLTN 0 07/01/24 Corp</v>
      </c>
      <c r="K7" t="str" cm="1">
        <f t="array" ref="K7">_xll.BDP($J7,K$3)</f>
        <v>BN3592373</v>
      </c>
      <c r="L7" t="str">
        <f>tCADASTRO[[#This Row],[ID_CUSIP]]&amp;"@ANDE corp"</f>
        <v>BN3592373@ANDE corp</v>
      </c>
    </row>
    <row r="8" spans="2:12" x14ac:dyDescent="0.25">
      <c r="B8" s="3">
        <f t="shared" si="0"/>
        <v>5</v>
      </c>
      <c r="C8" s="3" t="s">
        <v>10</v>
      </c>
      <c r="D8" s="3">
        <f t="shared" si="0"/>
        <v>5</v>
      </c>
      <c r="H8" t="s">
        <v>3</v>
      </c>
      <c r="I8" s="1">
        <v>46388</v>
      </c>
      <c r="J8" s="4" t="str">
        <f>"BNTNF 10 " &amp; TEXT(I8,"mm/dd/aa") &amp; " Corp"</f>
        <v>BNTNF 10 01/01/27 Corp</v>
      </c>
      <c r="K8" t="str" cm="1">
        <f t="array" ref="K8">_xll.BDP($J8,K$3)</f>
        <v>JV5341526</v>
      </c>
      <c r="L8" t="str">
        <f>tCADASTRO[[#This Row],[ID_CUSIP]]&amp;"@ANDE corp"</f>
        <v>JV5341526@ANDE corp</v>
      </c>
    </row>
    <row r="9" spans="2:12" x14ac:dyDescent="0.25">
      <c r="B9" s="3">
        <f t="shared" si="0"/>
        <v>6</v>
      </c>
      <c r="C9" s="3" t="s">
        <v>11</v>
      </c>
      <c r="D9" s="3">
        <f t="shared" si="0"/>
        <v>6</v>
      </c>
      <c r="H9" t="s">
        <v>3</v>
      </c>
      <c r="I9" s="1">
        <v>47119</v>
      </c>
      <c r="J9" s="4" t="str">
        <f>"BNTNF 10 " &amp; TEXT(I9,"mm/dd/aa") &amp; " Corp"</f>
        <v>BNTNF 10 01/01/29 Corp</v>
      </c>
      <c r="K9" t="str" cm="1">
        <f t="array" ref="K9">_xll.BDP($J9,K$3)</f>
        <v>AQ6084745</v>
      </c>
      <c r="L9" t="str">
        <f>tCADASTRO[[#This Row],[ID_CUSIP]]&amp;"@ANDE corp"</f>
        <v>AQ6084745@ANDE corp</v>
      </c>
    </row>
    <row r="10" spans="2:12" x14ac:dyDescent="0.25">
      <c r="B10" s="3">
        <f t="shared" si="0"/>
        <v>7</v>
      </c>
      <c r="C10" s="3" t="s">
        <v>12</v>
      </c>
      <c r="D10" s="3">
        <f t="shared" si="0"/>
        <v>7</v>
      </c>
      <c r="H10" t="s">
        <v>3</v>
      </c>
      <c r="I10" s="1">
        <v>47849</v>
      </c>
      <c r="J10" s="4" t="str">
        <f>"BNTNF 10 " &amp; TEXT(I10,"mm/dd/aa") &amp; " Corp"</f>
        <v>BNTNF 10 01/01/31 Corp</v>
      </c>
      <c r="K10" t="str" cm="1">
        <f t="array" ref="K10">_xll.BDP($J10,K$3)</f>
        <v>ZP2084801</v>
      </c>
      <c r="L10" t="str">
        <f>tCADASTRO[[#This Row],[ID_CUSIP]]&amp;"@ANDE corp"</f>
        <v>ZP2084801@ANDE corp</v>
      </c>
    </row>
    <row r="11" spans="2:12" x14ac:dyDescent="0.25">
      <c r="B11" s="3">
        <f t="shared" si="0"/>
        <v>8</v>
      </c>
      <c r="C11" s="3" t="s">
        <v>13</v>
      </c>
      <c r="D11" s="3">
        <f t="shared" si="0"/>
        <v>8</v>
      </c>
    </row>
    <row r="12" spans="2:12" x14ac:dyDescent="0.25">
      <c r="B12" s="3">
        <f t="shared" si="0"/>
        <v>9</v>
      </c>
      <c r="C12" s="3" t="s">
        <v>14</v>
      </c>
      <c r="D12" s="3">
        <f t="shared" si="0"/>
        <v>9</v>
      </c>
    </row>
    <row r="13" spans="2:12" x14ac:dyDescent="0.25">
      <c r="B13" s="3">
        <f t="shared" si="0"/>
        <v>10</v>
      </c>
      <c r="C13" s="3" t="s">
        <v>15</v>
      </c>
      <c r="D13" s="3">
        <f t="shared" si="0"/>
        <v>10</v>
      </c>
    </row>
    <row r="14" spans="2:12" x14ac:dyDescent="0.25">
      <c r="B14" s="3">
        <f t="shared" si="0"/>
        <v>11</v>
      </c>
      <c r="C14" s="3" t="s">
        <v>16</v>
      </c>
      <c r="D14" s="3">
        <f t="shared" si="0"/>
        <v>11</v>
      </c>
    </row>
    <row r="15" spans="2:12" x14ac:dyDescent="0.25">
      <c r="B15" s="3">
        <f t="shared" si="0"/>
        <v>12</v>
      </c>
      <c r="C15" s="3" t="s">
        <v>17</v>
      </c>
      <c r="D15" s="3">
        <f t="shared" si="0"/>
        <v>12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F8B9F-263A-4BE0-BC1F-060AD1D05C68}">
  <sheetPr codeName="Sheet2">
    <tabColor rgb="FFFF0000"/>
  </sheetPr>
  <dimension ref="A1:T31"/>
  <sheetViews>
    <sheetView showGridLines="0" workbookViewId="0">
      <selection activeCell="C18" sqref="C18"/>
    </sheetView>
  </sheetViews>
  <sheetFormatPr defaultRowHeight="15" x14ac:dyDescent="0.25"/>
  <cols>
    <col min="1" max="1" width="10.7109375" bestFit="1" customWidth="1"/>
    <col min="3" max="3" width="10.7109375" bestFit="1" customWidth="1"/>
    <col min="4" max="4" width="10.7109375" customWidth="1"/>
    <col min="5" max="5" width="13.85546875" bestFit="1" customWidth="1"/>
    <col min="6" max="6" width="13.85546875" customWidth="1"/>
    <col min="7" max="8" width="10.7109375" customWidth="1"/>
    <col min="14" max="14" width="10.7109375" bestFit="1" customWidth="1"/>
  </cols>
  <sheetData>
    <row r="1" spans="1:20" x14ac:dyDescent="0.25">
      <c r="A1" s="2" t="s">
        <v>33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45</v>
      </c>
      <c r="O1" t="s">
        <v>56</v>
      </c>
      <c r="P1" t="s">
        <v>57</v>
      </c>
    </row>
    <row r="2" spans="1:20" x14ac:dyDescent="0.25">
      <c r="A2" s="4" t="s">
        <v>55</v>
      </c>
      <c r="B2" s="13" t="s">
        <v>2</v>
      </c>
      <c r="C2" s="4" t="str">
        <f>"D:\Dropbox\FYY\Trading\Projects\TN_Leiloes\df_LTN.csv"</f>
        <v>D:\Dropbox\FYY\Trading\Projects\TN_Leiloes\df_LTN.csv</v>
      </c>
      <c r="D2" s="13" t="b" cm="1">
        <f t="array" ref="D2">xFile_Exist(C2)</f>
        <v>0</v>
      </c>
      <c r="E2" s="13" t="b">
        <f>dfLTN!A1&lt;&gt;""</f>
        <v>1</v>
      </c>
      <c r="F2" s="13" t="b">
        <f>E2</f>
        <v>1</v>
      </c>
      <c r="G2" s="13" t="b">
        <f>AND(F2,F3)</f>
        <v>1</v>
      </c>
      <c r="O2" s="14" t="b">
        <v>0</v>
      </c>
      <c r="P2" s="16">
        <v>1.1574074074074073E-5</v>
      </c>
    </row>
    <row r="3" spans="1:20" x14ac:dyDescent="0.25">
      <c r="B3" s="13" t="s">
        <v>3</v>
      </c>
      <c r="C3" s="4" t="str">
        <f>"D:\Dropbox\FYY\Trading\Projects\TN_Leiloes\df_NTNF.csv"</f>
        <v>D:\Dropbox\FYY\Trading\Projects\TN_Leiloes\df_NTNF.csv</v>
      </c>
      <c r="D3" s="13" t="b" cm="1">
        <f t="array" ref="D3">xFile_Exist(C3)</f>
        <v>0</v>
      </c>
      <c r="E3" s="13" t="b">
        <f>dfNTNF!A1&lt;&gt;""</f>
        <v>1</v>
      </c>
      <c r="F3" s="13" t="b">
        <f>E3</f>
        <v>1</v>
      </c>
    </row>
    <row r="5" spans="1:20" x14ac:dyDescent="0.25">
      <c r="D5" s="15">
        <f ca="1">NOW()-TODAY()</f>
        <v>0.40325023148034234</v>
      </c>
    </row>
    <row r="6" spans="1:20" x14ac:dyDescent="0.25">
      <c r="A6" s="2" t="s">
        <v>26</v>
      </c>
      <c r="B6" s="2" t="s">
        <v>1</v>
      </c>
      <c r="C6" s="2" t="s">
        <v>0</v>
      </c>
      <c r="D6" s="2" t="s">
        <v>34</v>
      </c>
      <c r="E6" s="2" t="s">
        <v>35</v>
      </c>
      <c r="F6" s="2" t="s">
        <v>35</v>
      </c>
      <c r="G6" s="2" t="s">
        <v>38</v>
      </c>
      <c r="H6" s="2" t="s">
        <v>31</v>
      </c>
      <c r="I6" s="2" t="s">
        <v>21</v>
      </c>
      <c r="J6" s="2" t="s">
        <v>22</v>
      </c>
      <c r="K6" s="2" t="s">
        <v>24</v>
      </c>
      <c r="L6" s="2" t="s">
        <v>27</v>
      </c>
      <c r="M6" s="2" t="s">
        <v>28</v>
      </c>
      <c r="N6" s="2" t="s">
        <v>29</v>
      </c>
      <c r="O6" s="2" t="s">
        <v>30</v>
      </c>
      <c r="P6" s="2" t="s">
        <v>5</v>
      </c>
      <c r="Q6" s="2" t="s">
        <v>32</v>
      </c>
      <c r="R6" s="2" t="s">
        <v>33</v>
      </c>
      <c r="S6" s="2" t="s">
        <v>37</v>
      </c>
      <c r="T6" s="2" t="s">
        <v>39</v>
      </c>
    </row>
    <row r="7" spans="1:20" x14ac:dyDescent="0.25">
      <c r="A7" s="1" cm="1">
        <f t="array" ref="A7">_xll.ffToday()</f>
        <v>44224</v>
      </c>
      <c r="B7" t="s">
        <v>2</v>
      </c>
      <c r="C7" s="1">
        <v>44652</v>
      </c>
      <c r="D7" s="5">
        <v>10</v>
      </c>
      <c r="E7" s="7">
        <f t="shared" ref="E7:E13" si="0">(D7*1000*R7)</f>
        <v>1074.0134043533089</v>
      </c>
      <c r="F7" s="10"/>
      <c r="G7" s="5">
        <f t="shared" ref="G7:G13" si="1">S7*D7/1000</f>
        <v>9.5465854256922427</v>
      </c>
      <c r="H7" s="5">
        <f t="shared" ref="H7:H13" si="2">I7+J7%</f>
        <v>4.0434000000000001</v>
      </c>
      <c r="I7" cm="1">
        <f t="array" ref="I7">_xll.BDP(P7,"last price")</f>
        <v>3.94</v>
      </c>
      <c r="J7" s="6">
        <f>O7</f>
        <v>10.340000000000016</v>
      </c>
      <c r="K7" t="str">
        <f>VLOOKUP(C7,tCADASTRO[[Vcto]:[Ticker ANDE]],4,0)</f>
        <v>ZP2084736@ANDE corp</v>
      </c>
      <c r="L7" cm="1">
        <f t="array" ref="L7">_xll.BDH(K7,"yl017",N7,N7)</f>
        <v>4.0334000000000003</v>
      </c>
      <c r="M7" cm="1">
        <f t="array" ref="M7">_xll.BDH(P7,"px last",N7,N7)</f>
        <v>3.93</v>
      </c>
      <c r="N7" s="1" cm="1">
        <f t="array" ref="N7">_xll.ffWday(A7,-1)</f>
        <v>44223</v>
      </c>
      <c r="O7" s="6">
        <f>(L7-M7)*100</f>
        <v>10.340000000000016</v>
      </c>
      <c r="P7" s="1" t="str">
        <f>"od" &amp; VLOOKUP(MONTH(C7),tCOD[[n]:[cod]],2,0) &amp; YEAR(C7)-2000 &amp; " comdty"</f>
        <v>odJ22 comdty</v>
      </c>
      <c r="Q7" cm="1">
        <f t="array" ref="Q7">_xll.ffBdays(A7,_xll.ffWday(C7-1,1))</f>
        <v>295</v>
      </c>
      <c r="R7">
        <f>1000/(1+H7%)^(Q7/252)-1000/(1+H7%+0.01%)^(Q7/252)</f>
        <v>0.10740134043533089</v>
      </c>
      <c r="S7">
        <f>1000/(1+H7%)^(Q7/252)</f>
        <v>954.65854256922432</v>
      </c>
      <c r="T7" t="str">
        <f t="shared" ref="T7" si="3">TEXT(C7,"dd.mm.aaaa")</f>
        <v>01.04.2022</v>
      </c>
    </row>
    <row r="8" spans="1:20" x14ac:dyDescent="0.25">
      <c r="A8" s="1" cm="1">
        <f t="array" ref="A8">_xll.ffToday()</f>
        <v>44224</v>
      </c>
      <c r="B8" t="s">
        <v>2</v>
      </c>
      <c r="C8" s="1">
        <v>44470</v>
      </c>
      <c r="D8" s="5">
        <v>10</v>
      </c>
      <c r="E8" s="7">
        <f t="shared" si="0"/>
        <v>641.52411534337261</v>
      </c>
      <c r="F8" s="11"/>
      <c r="G8" s="5">
        <f t="shared" si="1"/>
        <v>9.7998170208955351</v>
      </c>
      <c r="H8" s="5">
        <f t="shared" si="2"/>
        <v>3.0428999999999999</v>
      </c>
      <c r="I8" cm="1">
        <f t="array" ref="I8">_xll.BDP(P8,"last price")</f>
        <v>2.9350000000000001</v>
      </c>
      <c r="J8" s="6">
        <f>O8</f>
        <v>10.789999999999988</v>
      </c>
      <c r="K8" t="str">
        <f>VLOOKUP(C8,tCADASTRO[[Vcto]:[Ticker ANDE]],4,0)</f>
        <v>AW7021172@ANDE corp</v>
      </c>
      <c r="L8" cm="1">
        <f t="array" ref="L8">_xll.BDH(K8,"yl017",N8,N8)</f>
        <v>3.0278999999999998</v>
      </c>
      <c r="M8" cm="1">
        <f t="array" ref="M8">_xll.BDH(P8,"px last",N8,N8)</f>
        <v>2.92</v>
      </c>
      <c r="N8" s="1" cm="1">
        <f t="array" ref="N8">_xll.ffWday(A8,-1)</f>
        <v>44223</v>
      </c>
      <c r="O8" s="6">
        <f>(L8-M8)*100</f>
        <v>10.789999999999988</v>
      </c>
      <c r="P8" s="1" t="str">
        <f>"od" &amp; VLOOKUP(MONTH(C8),tCOD[[n]:[cod]],2,0) &amp; YEAR(C8)-2000 &amp; " comdty"</f>
        <v>odV21 comdty</v>
      </c>
      <c r="Q8" cm="1">
        <f t="array" ref="Q8">_xll.ffBdays(A8,_xll.ffWday(C8-1,1))</f>
        <v>170</v>
      </c>
      <c r="R8">
        <f>1000/(1+H8%)^(Q8/252)-1000/(1+H8%+0.01%)^(Q8/252)</f>
        <v>6.4152411534337261E-2</v>
      </c>
      <c r="S8">
        <f>1000/(1+H8%)^(Q8/252)</f>
        <v>979.98170208955344</v>
      </c>
      <c r="T8" t="str">
        <f t="shared" ref="T8:T12" si="4">TEXT(C8,"dd.mm.aaaa")</f>
        <v>01.10.2021</v>
      </c>
    </row>
    <row r="9" spans="1:20" x14ac:dyDescent="0.25">
      <c r="A9" s="1" cm="1">
        <f t="array" ref="A9">_xll.ffToday()</f>
        <v>44224</v>
      </c>
      <c r="B9" t="s">
        <v>2</v>
      </c>
      <c r="C9" s="1">
        <v>44927</v>
      </c>
      <c r="D9" s="5">
        <v>5</v>
      </c>
      <c r="E9" s="7">
        <f t="shared" si="0"/>
        <v>825.29390053593943</v>
      </c>
      <c r="F9" s="11">
        <f>SUM(E7:E10)</f>
        <v>2796.8462384043278</v>
      </c>
      <c r="G9" s="5">
        <f t="shared" si="1"/>
        <v>4.5262118665582891</v>
      </c>
      <c r="H9" s="5">
        <f t="shared" si="2"/>
        <v>5.3199999999999994</v>
      </c>
      <c r="I9" cm="1">
        <f t="array" ref="I9">_xll.BDP(P9,"last price")</f>
        <v>5.08</v>
      </c>
      <c r="J9" s="6">
        <f t="shared" ref="J9:J12" si="5">O9</f>
        <v>23.999999999999932</v>
      </c>
      <c r="K9" t="str">
        <f>VLOOKUP(C9,tCADASTRO[[Vcto]:[Ticker ANDE]],4,0)</f>
        <v>BN3592365@ANDE corp</v>
      </c>
      <c r="L9" cm="1">
        <f t="array" ref="L9">_xll.BDH(K9,"yl017",N9,N9)</f>
        <v>5.31</v>
      </c>
      <c r="M9" cm="1">
        <f t="array" ref="M9">_xll.BDH(P9,"px last",N9,N9)</f>
        <v>5.07</v>
      </c>
      <c r="N9" s="1" cm="1">
        <f t="array" ref="N9">_xll.ffWday(A9,-1)</f>
        <v>44223</v>
      </c>
      <c r="O9" s="6">
        <f t="shared" ref="O9:O12" si="6">(L9-M9)*100</f>
        <v>23.999999999999932</v>
      </c>
      <c r="P9" s="1" t="str">
        <f>"od" &amp; VLOOKUP(MONTH(C9),tCOD[[n]:[cod]],2,0) &amp; YEAR(C9)-2000 &amp; " comdty"</f>
        <v>odF23 comdty</v>
      </c>
      <c r="Q9" cm="1">
        <f t="array" ref="Q9">_xll.ffBdays(A9,_xll.ffWday(C9-1,1))</f>
        <v>484</v>
      </c>
      <c r="R9">
        <f>1000/(1+H9%)^(Q9/252)-1000/(1+H9%+0.01%)^(Q9/252)</f>
        <v>0.16505878010718789</v>
      </c>
      <c r="S9">
        <f>1000/(1+H9%)^(Q9/252)</f>
        <v>905.24237331165796</v>
      </c>
      <c r="T9" t="str">
        <f t="shared" si="4"/>
        <v>01.01.2023</v>
      </c>
    </row>
    <row r="10" spans="1:20" x14ac:dyDescent="0.25">
      <c r="A10" s="1" cm="1">
        <f t="array" ref="A10">_xll.ffToday()</f>
        <v>44224</v>
      </c>
      <c r="B10" t="s">
        <v>2</v>
      </c>
      <c r="C10" s="1">
        <v>45474</v>
      </c>
      <c r="D10" s="5">
        <v>1</v>
      </c>
      <c r="E10" s="7">
        <f t="shared" si="0"/>
        <v>256.01481817170679</v>
      </c>
      <c r="F10" s="12"/>
      <c r="G10" s="5">
        <f t="shared" si="1"/>
        <v>0.80311026369138516</v>
      </c>
      <c r="H10" s="5">
        <f t="shared" si="2"/>
        <v>6.6598000000000006</v>
      </c>
      <c r="I10" cm="1">
        <f t="array" ref="I10">_xll.BDP(P10,"last price")</f>
        <v>6.36</v>
      </c>
      <c r="J10" s="6">
        <f t="shared" si="5"/>
        <v>29.980000000000029</v>
      </c>
      <c r="K10" t="str">
        <f>VLOOKUP(C10,tCADASTRO[[Vcto]:[Ticker ANDE]],4,0)</f>
        <v>BN3592373@ANDE corp</v>
      </c>
      <c r="L10" cm="1">
        <f t="array" ref="L10">_xll.BDH(K10,"yl017",N10,N10)</f>
        <v>6.6497999999999999</v>
      </c>
      <c r="M10" cm="1">
        <f t="array" ref="M10">_xll.BDH(P10,"px last",N10,N10)</f>
        <v>6.35</v>
      </c>
      <c r="N10" s="1" cm="1">
        <f t="array" ref="N10">_xll.ffWday(A10,-1)</f>
        <v>44223</v>
      </c>
      <c r="O10" s="6">
        <f t="shared" si="6"/>
        <v>29.980000000000029</v>
      </c>
      <c r="P10" s="1" t="str">
        <f>"od" &amp; VLOOKUP(MONTH(C10),tCOD[[n]:[cod]],2,0) &amp; YEAR(C10)-2000 &amp; " comdty"</f>
        <v>odN24 comdty</v>
      </c>
      <c r="Q10" cm="1">
        <f t="array" ref="Q10">_xll.ffBdays(A10,_xll.ffWday(C10-1,1))</f>
        <v>857</v>
      </c>
      <c r="R10">
        <f>1000/(1+H10%)^(Q10/252)-1000/(1+H10%+0.01%)^(Q10/252)</f>
        <v>0.25601481817170679</v>
      </c>
      <c r="S10">
        <f>1000/(1+H10%)^(Q10/252)</f>
        <v>803.11026369138517</v>
      </c>
      <c r="T10" t="str">
        <f t="shared" si="4"/>
        <v>01.07.2024</v>
      </c>
    </row>
    <row r="11" spans="1:20" x14ac:dyDescent="0.25">
      <c r="A11" s="1" cm="1">
        <f t="array" ref="A11">_xll.ffToday()</f>
        <v>44224</v>
      </c>
      <c r="B11" t="s">
        <v>3</v>
      </c>
      <c r="C11" s="1">
        <v>46388</v>
      </c>
      <c r="D11" s="5">
        <v>3</v>
      </c>
      <c r="E11" s="7">
        <f t="shared" si="0"/>
        <v>1499.4824999997718</v>
      </c>
      <c r="F11" s="11"/>
      <c r="G11" s="5">
        <f t="shared" si="1"/>
        <v>3.4270950659999997</v>
      </c>
      <c r="H11" s="5">
        <f t="shared" si="2"/>
        <v>7.08</v>
      </c>
      <c r="I11" cm="1">
        <f t="array" ref="I11">_xll.BDP(P11,"last price")</f>
        <v>7.25</v>
      </c>
      <c r="J11" s="6">
        <f t="shared" si="5"/>
        <v>-16.999999999999993</v>
      </c>
      <c r="K11" t="str">
        <f>VLOOKUP(C11,tCADASTRO[[Vcto]:[Ticker ANDE]],4,0)</f>
        <v>JV5341526@ANDE corp</v>
      </c>
      <c r="L11" cm="1">
        <f t="array" ref="L11">_xll.BDH(K11,"yl017",N11,N11)</f>
        <v>7.05</v>
      </c>
      <c r="M11" cm="1">
        <f t="array" ref="M11">_xll.BDH(P11,"px last",N11,N11)</f>
        <v>7.22</v>
      </c>
      <c r="N11" s="1" cm="1">
        <f t="array" ref="N11">_xll.ffWday(A11,-1)</f>
        <v>44223</v>
      </c>
      <c r="O11" s="6">
        <f t="shared" si="6"/>
        <v>-16.999999999999993</v>
      </c>
      <c r="P11" s="1" t="str">
        <f>"od" &amp; VLOOKUP(MONTH(C11),tCOD[[n]:[cod]],2,0) &amp; YEAR(C11)-2000 &amp; " comdty"</f>
        <v>odF27 comdty</v>
      </c>
      <c r="Q11" cm="1">
        <f t="array" ref="Q11">_xll.ffBdays(A11,_xll.ffWday(C11-1,1))</f>
        <v>1490</v>
      </c>
      <c r="R11" s="4" cm="1">
        <f t="array" ref="R11">_xll.ffDVF($C11,$H11,$A11)</f>
        <v>0.49982749999992393</v>
      </c>
      <c r="S11" s="4" cm="1">
        <f t="array" ref="S11">_xll.ffPUF($C11,$H11,$A11)</f>
        <v>1142.365022</v>
      </c>
      <c r="T11" t="str">
        <f t="shared" si="4"/>
        <v>01.01.2027</v>
      </c>
    </row>
    <row r="12" spans="1:20" x14ac:dyDescent="0.25">
      <c r="A12" s="1" cm="1">
        <f t="array" ref="A12">_xll.ffToday()</f>
        <v>44224</v>
      </c>
      <c r="B12" t="s">
        <v>3</v>
      </c>
      <c r="C12" s="1">
        <v>47119</v>
      </c>
      <c r="D12" s="5">
        <v>0.3</v>
      </c>
      <c r="E12" s="7">
        <f t="shared" si="0"/>
        <v>186.14925000001676</v>
      </c>
      <c r="F12" s="11">
        <f>SUM(E11:E13)</f>
        <v>1902.2560499997894</v>
      </c>
      <c r="G12" s="5">
        <f t="shared" si="1"/>
        <v>0.34506578309999997</v>
      </c>
      <c r="H12" s="5">
        <f t="shared" si="2"/>
        <v>7.5118999999999998</v>
      </c>
      <c r="I12" cm="1">
        <f t="array" ref="I12">_xll.BDP(P12,"last price")</f>
        <v>7.68</v>
      </c>
      <c r="J12" s="6">
        <f t="shared" si="5"/>
        <v>-16.809999999999992</v>
      </c>
      <c r="K12" t="str">
        <f>VLOOKUP(C12,tCADASTRO[[Vcto]:[Ticker ANDE]],4,0)</f>
        <v>AQ6084745@ANDE corp</v>
      </c>
      <c r="L12" cm="1">
        <f t="array" ref="L12">_xll.BDH(K12,"yl017",N12,N12)</f>
        <v>7.4919000000000002</v>
      </c>
      <c r="M12" cm="1">
        <f t="array" ref="M12">_xll.BDH(P12,"px last",N12,N12)</f>
        <v>7.66</v>
      </c>
      <c r="N12" s="1" cm="1">
        <f t="array" ref="N12">_xll.ffWday(A12,-1)</f>
        <v>44223</v>
      </c>
      <c r="O12" s="6">
        <f t="shared" si="6"/>
        <v>-16.809999999999992</v>
      </c>
      <c r="P12" s="1" t="str">
        <f>"od" &amp; VLOOKUP(MONTH(C12),tCOD[[n]:[cod]],2,0) &amp; YEAR(C12)-2000 &amp; " comdty"</f>
        <v>odF29 comdty</v>
      </c>
      <c r="Q12" cm="1">
        <f t="array" ref="Q12">_xll.ffBdays(A12,_xll.ffWday(C12-1,1))</f>
        <v>1990</v>
      </c>
      <c r="R12" s="4" cm="1">
        <f t="array" ref="R12">_xll.ffDVF($C12,$H12,$A12)</f>
        <v>0.62049750000005588</v>
      </c>
      <c r="S12" s="4" cm="1">
        <f t="array" ref="S12">_xll.ffPUF($C12,$H12,$A12)</f>
        <v>1150.2192769999999</v>
      </c>
      <c r="T12" t="str">
        <f t="shared" si="4"/>
        <v>01.01.2029</v>
      </c>
    </row>
    <row r="13" spans="1:20" x14ac:dyDescent="0.25">
      <c r="A13" s="1" cm="1">
        <f t="array" ref="A13">_xll.ffToday()</f>
        <v>44224</v>
      </c>
      <c r="B13" t="s">
        <v>3</v>
      </c>
      <c r="C13" s="1">
        <v>47849</v>
      </c>
      <c r="D13" s="5">
        <v>0.3</v>
      </c>
      <c r="E13" s="7">
        <f t="shared" si="0"/>
        <v>216.62430000000086</v>
      </c>
      <c r="F13" s="12"/>
      <c r="G13" s="5">
        <f t="shared" si="1"/>
        <v>0.34612852229999996</v>
      </c>
      <c r="H13" s="5">
        <f t="shared" si="2"/>
        <v>7.8029999999999999</v>
      </c>
      <c r="I13" cm="1">
        <f t="array" ref="I13">_xll.BDP(P13,"last price")</f>
        <v>7.99</v>
      </c>
      <c r="J13" s="6">
        <f t="shared" ref="J13" si="7">O13</f>
        <v>-18.700000000000028</v>
      </c>
      <c r="K13" t="str">
        <f>VLOOKUP(C13,tCADASTRO[[Vcto]:[Ticker ANDE]],4,0)</f>
        <v>ZP2084801@ANDE corp</v>
      </c>
      <c r="L13" cm="1">
        <f t="array" ref="L13">_xll.BDH(K13,"yl017",N13,N13)</f>
        <v>7.7729999999999997</v>
      </c>
      <c r="M13" cm="1">
        <f t="array" ref="M13">_xll.BDH(P13,"px last",N13,N13)</f>
        <v>7.96</v>
      </c>
      <c r="N13" s="1" cm="1">
        <f t="array" ref="N13">_xll.ffWday(A13,-1)</f>
        <v>44223</v>
      </c>
      <c r="O13" s="6">
        <f t="shared" ref="O13" si="8">(L13-M13)*100</f>
        <v>-18.700000000000028</v>
      </c>
      <c r="P13" s="1" t="str">
        <f>"od" &amp; VLOOKUP(MONTH(C13),tCOD[[n]:[cod]],2,0) &amp; YEAR(C13)-2000 &amp; " comdty"</f>
        <v>odF31 comdty</v>
      </c>
      <c r="Q13" cm="1">
        <f t="array" ref="Q13">_xll.ffBdays(A13,_xll.ffWday(C13-1,1))</f>
        <v>2493</v>
      </c>
      <c r="R13" s="4" cm="1">
        <f t="array" ref="R13">_xll.ffDVF($C13,$H13,$A13)</f>
        <v>0.72208100000000286</v>
      </c>
      <c r="S13" s="4" cm="1">
        <f t="array" ref="S13">_xll.ffPUF($C13,$H13,$A13)</f>
        <v>1153.761741</v>
      </c>
      <c r="T13" t="str">
        <f t="shared" ref="T13" si="9">TEXT(C13,"dd.mm.aaaa")</f>
        <v>01.01.2031</v>
      </c>
    </row>
    <row r="14" spans="1:20" x14ac:dyDescent="0.25">
      <c r="A14" s="1" cm="1">
        <f t="array" ref="A14">_xll.ffToday()</f>
        <v>44224</v>
      </c>
      <c r="C14" s="1" t="s">
        <v>36</v>
      </c>
      <c r="D14" s="8">
        <f>SUM(D8:D12)</f>
        <v>19.3</v>
      </c>
      <c r="E14" s="9">
        <f>SUM(E8:E12)</f>
        <v>3408.4645840508074</v>
      </c>
      <c r="F14" s="9">
        <f>SUM(F8:F12)</f>
        <v>4699.1022884041176</v>
      </c>
      <c r="G14" s="8">
        <f>SUM(G8:G12)</f>
        <v>18.901300000245211</v>
      </c>
      <c r="J14" s="6"/>
      <c r="N14" s="1"/>
      <c r="O14" s="6"/>
      <c r="P14" s="1"/>
    </row>
    <row r="18" spans="1:20" ht="15.75" thickBot="1" x14ac:dyDescent="0.3">
      <c r="A18" s="2" t="s">
        <v>26</v>
      </c>
      <c r="B18" s="2" t="s">
        <v>1</v>
      </c>
      <c r="C18" s="2" t="s">
        <v>0</v>
      </c>
      <c r="D18" s="2" t="s">
        <v>34</v>
      </c>
      <c r="E18" s="2" t="s">
        <v>35</v>
      </c>
      <c r="F18" s="2" t="s">
        <v>35</v>
      </c>
      <c r="G18" s="2" t="s">
        <v>38</v>
      </c>
      <c r="H18" s="2" t="s">
        <v>31</v>
      </c>
      <c r="I18" s="2" t="s">
        <v>21</v>
      </c>
      <c r="J18" s="2" t="s">
        <v>22</v>
      </c>
      <c r="K18" s="2" t="s">
        <v>24</v>
      </c>
      <c r="L18" s="2" t="s">
        <v>27</v>
      </c>
      <c r="M18" s="2" t="s">
        <v>28</v>
      </c>
      <c r="N18" s="2" t="s">
        <v>29</v>
      </c>
      <c r="O18" s="2" t="s">
        <v>30</v>
      </c>
      <c r="P18" s="2" t="s">
        <v>5</v>
      </c>
      <c r="Q18" s="2" t="s">
        <v>32</v>
      </c>
      <c r="R18" s="2" t="s">
        <v>33</v>
      </c>
      <c r="S18" s="2" t="s">
        <v>37</v>
      </c>
      <c r="T18" s="2" t="s">
        <v>39</v>
      </c>
    </row>
    <row r="19" spans="1:20" x14ac:dyDescent="0.25">
      <c r="A19" s="1">
        <v>44217</v>
      </c>
      <c r="B19" s="18" t="s">
        <v>2</v>
      </c>
      <c r="C19" s="35">
        <v>44652</v>
      </c>
      <c r="D19" s="19">
        <f>IFERROR(VLOOKUP(T19,dfLTN!$A$2:$C$4,3,0),"")</f>
        <v>5</v>
      </c>
      <c r="E19" s="20">
        <f>IFERROR(D19*1000*R19,"")</f>
        <v>545.58906817874231</v>
      </c>
      <c r="F19" s="30"/>
      <c r="G19" s="21">
        <f t="shared" ref="G19:G23" si="10">IFERROR(S19*D19/1000,"")</f>
        <v>4.7691145125431413</v>
      </c>
      <c r="H19" s="5">
        <f>I19+J19%</f>
        <v>4.0511999999999997</v>
      </c>
      <c r="I19" cm="1">
        <f t="array" ref="I19">_xll.BDP(P19,"last price")</f>
        <v>3.94</v>
      </c>
      <c r="J19" s="6">
        <f>O19</f>
        <v>11.119999999999974</v>
      </c>
      <c r="K19" t="str">
        <f>VLOOKUP(C19,tCADASTRO[[Vcto]:[Ticker ANDE]],4,0)</f>
        <v>ZP2084736@ANDE corp</v>
      </c>
      <c r="L19" cm="1">
        <f t="array" ref="L19">_xll.BDH(K19,"yl017",N19,N19)</f>
        <v>4.0011999999999999</v>
      </c>
      <c r="M19" cm="1">
        <f t="array" ref="M19">_xll.BDH(P19,"px last",N19,N19)</f>
        <v>3.89</v>
      </c>
      <c r="N19" s="1" cm="1">
        <f t="array" ref="N19">_xll.ffWday(A19,1)</f>
        <v>44218</v>
      </c>
      <c r="O19" s="6">
        <f>(L19-M19)*100</f>
        <v>11.119999999999974</v>
      </c>
      <c r="P19" s="1" t="str">
        <f>"od" &amp; VLOOKUP(MONTH(C19),tCOD[[n]:[cod]],2,0) &amp; YEAR(C19)-2000 &amp; " comdty"</f>
        <v>odJ22 comdty</v>
      </c>
      <c r="Q19" cm="1">
        <f t="array" ref="Q19">_xll.ffBdays(A19,_xll.ffWday(C19-1,1))</f>
        <v>300</v>
      </c>
      <c r="R19">
        <f>1000/(1+H19%)^(Q19/252)-1000/(1+H19%+0.01%)^(Q19/252)</f>
        <v>0.10911781363574846</v>
      </c>
      <c r="S19">
        <f>1000/(1+H19%)^(Q19/252)</f>
        <v>953.82290250862832</v>
      </c>
      <c r="T19" t="str">
        <f t="shared" ref="T19:T23" si="11">TEXT(C19,"dd.mm.aaaa")</f>
        <v>01.04.2022</v>
      </c>
    </row>
    <row r="20" spans="1:20" x14ac:dyDescent="0.25">
      <c r="A20" s="1">
        <v>44217</v>
      </c>
      <c r="B20" s="22" t="s">
        <v>2</v>
      </c>
      <c r="C20" s="36">
        <v>44927</v>
      </c>
      <c r="D20" s="23">
        <f>IFERROR(VLOOKUP(T20,dfLTN!$A$2:$C$4,3,0),"")</f>
        <v>5</v>
      </c>
      <c r="E20" s="24">
        <f t="shared" ref="E20:E23" si="12">IFERROR(D20*1000*R20,"")</f>
        <v>833.07807501569187</v>
      </c>
      <c r="F20" s="31">
        <f>SUM(E19:E21)</f>
        <v>2407.6135634772982</v>
      </c>
      <c r="G20" s="25">
        <f t="shared" si="10"/>
        <v>4.5219759105763648</v>
      </c>
      <c r="H20" s="5">
        <f>I20+J20%</f>
        <v>5.3150000000000004</v>
      </c>
      <c r="I20" cm="1">
        <f t="array" ref="I20">_xll.BDP(P20,"last price")</f>
        <v>5.08</v>
      </c>
      <c r="J20" s="6">
        <f t="shared" ref="J20:J23" si="13">O20</f>
        <v>23.500000000000032</v>
      </c>
      <c r="K20" t="str">
        <f>VLOOKUP(C20,tCADASTRO[[Vcto]:[Ticker ANDE]],4,0)</f>
        <v>BN3592365@ANDE corp</v>
      </c>
      <c r="L20" cm="1">
        <f t="array" ref="L20">_xll.BDH(K20,"yl017",N20,N20)</f>
        <v>5.42</v>
      </c>
      <c r="M20" cm="1">
        <f t="array" ref="M20">_xll.BDH(P20,"px last",N20,N20)</f>
        <v>5.1849999999999996</v>
      </c>
      <c r="N20" s="1" cm="1">
        <f t="array" ref="N20">_xll.ffWday(A20,1)</f>
        <v>44218</v>
      </c>
      <c r="O20" s="6">
        <f t="shared" ref="O20:O23" si="14">(L20-M20)*100</f>
        <v>23.500000000000032</v>
      </c>
      <c r="P20" s="1" t="str">
        <f>"od" &amp; VLOOKUP(MONTH(C20),tCOD[[n]:[cod]],2,0) &amp; YEAR(C20)-2000 &amp; " comdty"</f>
        <v>odF23 comdty</v>
      </c>
      <c r="Q20" cm="1">
        <f t="array" ref="Q20">_xll.ffBdays(A20,_xll.ffWday(C20-1,1))</f>
        <v>489</v>
      </c>
      <c r="R20">
        <f>1000/(1+H20%)^(Q20/252)-1000/(1+H20%+0.01%)^(Q20/252)</f>
        <v>0.16661561500313837</v>
      </c>
      <c r="S20">
        <f>1000/(1+H20%)^(Q20/252)</f>
        <v>904.39518211527297</v>
      </c>
      <c r="T20" t="str">
        <f t="shared" si="11"/>
        <v>01.01.2023</v>
      </c>
    </row>
    <row r="21" spans="1:20" x14ac:dyDescent="0.25">
      <c r="A21" s="1">
        <v>44217</v>
      </c>
      <c r="B21" s="26" t="s">
        <v>2</v>
      </c>
      <c r="C21" s="37">
        <v>45474</v>
      </c>
      <c r="D21" s="27">
        <f>IFERROR(VLOOKUP(T21,dfLTN!$A$2:$C$4,3,0),"")</f>
        <v>4</v>
      </c>
      <c r="E21" s="28">
        <f t="shared" si="12"/>
        <v>1028.946420282864</v>
      </c>
      <c r="F21" s="32"/>
      <c r="G21" s="29">
        <f t="shared" si="10"/>
        <v>3.20888985456798</v>
      </c>
      <c r="H21" s="5">
        <f>I21+J21%</f>
        <v>6.6544000000000008</v>
      </c>
      <c r="I21" cm="1">
        <f t="array" ref="I21">_xll.BDP(P21,"last price")</f>
        <v>6.36</v>
      </c>
      <c r="J21" s="6">
        <f t="shared" si="13"/>
        <v>29.440000000000044</v>
      </c>
      <c r="K21" t="str">
        <f>VLOOKUP(C21,tCADASTRO[[Vcto]:[Ticker ANDE]],4,0)</f>
        <v>BN3592373@ANDE corp</v>
      </c>
      <c r="L21" cm="1">
        <f t="array" ref="L21">_xll.BDH(K21,"yl017",N21,N21)</f>
        <v>6.8344000000000005</v>
      </c>
      <c r="M21" cm="1">
        <f t="array" ref="M21">_xll.BDH(P21,"px last",N21,N21)</f>
        <v>6.54</v>
      </c>
      <c r="N21" s="1" cm="1">
        <f t="array" ref="N21">_xll.ffWday(A21,1)</f>
        <v>44218</v>
      </c>
      <c r="O21" s="6">
        <f t="shared" si="14"/>
        <v>29.440000000000044</v>
      </c>
      <c r="P21" s="1" t="str">
        <f>"od" &amp; VLOOKUP(MONTH(C21),tCOD[[n]:[cod]],2,0) &amp; YEAR(C21)-2000 &amp; " comdty"</f>
        <v>odN24 comdty</v>
      </c>
      <c r="Q21" cm="1">
        <f t="array" ref="Q21">_xll.ffBdays(A21,_xll.ffWday(C21-1,1))</f>
        <v>862</v>
      </c>
      <c r="R21">
        <f>1000/(1+H21%)^(Q21/252)-1000/(1+H21%+0.01%)^(Q21/252)</f>
        <v>0.257236605070716</v>
      </c>
      <c r="S21">
        <f>1000/(1+H21%)^(Q21/252)</f>
        <v>802.22246364199498</v>
      </c>
      <c r="T21" t="str">
        <f t="shared" si="11"/>
        <v>01.07.2024</v>
      </c>
    </row>
    <row r="22" spans="1:20" x14ac:dyDescent="0.25">
      <c r="A22" s="1">
        <v>44217</v>
      </c>
      <c r="B22" s="18" t="s">
        <v>3</v>
      </c>
      <c r="C22" s="35">
        <v>47119</v>
      </c>
      <c r="D22" s="19">
        <f>IFERROR(VLOOKUP($T22,dfNTNF!$A$2:$E$3,3,0),"")</f>
        <v>4</v>
      </c>
      <c r="E22" s="20">
        <f t="shared" si="12"/>
        <v>2492.5220000000081</v>
      </c>
      <c r="F22" s="33"/>
      <c r="G22" s="21">
        <f t="shared" si="10"/>
        <v>4.6018136279999995</v>
      </c>
      <c r="H22" s="5">
        <f>I22+J22%</f>
        <v>7.4816000000000003</v>
      </c>
      <c r="I22" cm="1">
        <f t="array" ref="I22">_xll.BDP(P22,"last price")</f>
        <v>7.68</v>
      </c>
      <c r="J22" s="6">
        <f t="shared" si="13"/>
        <v>-19.839999999999947</v>
      </c>
      <c r="K22" t="str">
        <f>VLOOKUP(C22,tCADASTRO[[Vcto]:[Ticker ANDE]],4,0)</f>
        <v>AQ6084745@ANDE corp</v>
      </c>
      <c r="L22" cm="1">
        <f t="array" ref="L22">_xll.BDH(K22,"yl017",N22,N22)</f>
        <v>7.7316000000000003</v>
      </c>
      <c r="M22" cm="1">
        <f t="array" ref="M22">_xll.BDH(P22,"px last",N22,N22)</f>
        <v>7.93</v>
      </c>
      <c r="N22" s="1" cm="1">
        <f t="array" ref="N22">_xll.ffWday(A22,1)</f>
        <v>44218</v>
      </c>
      <c r="O22" s="6">
        <f t="shared" si="14"/>
        <v>-19.839999999999947</v>
      </c>
      <c r="P22" s="1" t="str">
        <f>"od" &amp; VLOOKUP(MONTH(C22),tCOD[[n]:[cod]],2,0) &amp; YEAR(C22)-2000 &amp; " comdty"</f>
        <v>odF29 comdty</v>
      </c>
      <c r="Q22" cm="1">
        <f t="array" ref="Q22">_xll.ffBdays(A22,_xll.ffWday(C22-1,1))</f>
        <v>1995</v>
      </c>
      <c r="R22" s="4" cm="1">
        <f t="array" ref="R22">_xll.ffDVF($C22,$H22,$A22)</f>
        <v>0.62313050000000203</v>
      </c>
      <c r="S22" s="4" cm="1">
        <f t="array" ref="S22">_xll.ffPUF($C22,$H22,$A22)</f>
        <v>1150.453407</v>
      </c>
      <c r="T22" t="str">
        <f t="shared" si="11"/>
        <v>01.01.2029</v>
      </c>
    </row>
    <row r="23" spans="1:20" x14ac:dyDescent="0.25">
      <c r="A23" s="1">
        <v>44217</v>
      </c>
      <c r="B23" s="26" t="s">
        <v>3</v>
      </c>
      <c r="C23" s="37">
        <v>47849</v>
      </c>
      <c r="D23" s="27">
        <f>IFERROR(VLOOKUP($T23,dfNTNF!$A$2:$E$3,3,0),"")</f>
        <v>1.5</v>
      </c>
      <c r="E23" s="28">
        <f t="shared" si="12"/>
        <v>1087.2225000000526</v>
      </c>
      <c r="F23" s="32">
        <f>SUM(E22:E23)</f>
        <v>3579.7445000000607</v>
      </c>
      <c r="G23" s="29">
        <f t="shared" si="10"/>
        <v>1.7309423070000001</v>
      </c>
      <c r="H23" s="5">
        <f>I23+J23%</f>
        <v>7.7765000000000004</v>
      </c>
      <c r="I23" cm="1">
        <f t="array" ref="I23">_xll.BDP(P23,"last price")</f>
        <v>7.99</v>
      </c>
      <c r="J23" s="6">
        <f t="shared" si="13"/>
        <v>-21.34999999999998</v>
      </c>
      <c r="K23" t="str">
        <f>VLOOKUP(C23,tCADASTRO[[Vcto]:[Ticker ANDE]],4,0)</f>
        <v>ZP2084801@ANDE corp</v>
      </c>
      <c r="L23" cm="1">
        <f t="array" ref="L23">_xll.BDH(K23,"yl017",N23,N23)</f>
        <v>8.0465</v>
      </c>
      <c r="M23" cm="1">
        <f t="array" ref="M23">_xll.BDH(P23,"px last",N23,N23)</f>
        <v>8.26</v>
      </c>
      <c r="N23" s="1" cm="1">
        <f t="array" ref="N23">_xll.ffWday(A23,1)</f>
        <v>44218</v>
      </c>
      <c r="O23" s="6">
        <f t="shared" si="14"/>
        <v>-21.34999999999998</v>
      </c>
      <c r="P23" s="1" t="str">
        <f>"od" &amp; VLOOKUP(MONTH(C23),tCOD[[n]:[cod]],2,0) &amp; YEAR(C23)-2000 &amp; " comdty"</f>
        <v>odF31 comdty</v>
      </c>
      <c r="Q23" cm="1">
        <f t="array" ref="Q23">_xll.ffBdays(A23,_xll.ffWday(C23-1,1))</f>
        <v>2498</v>
      </c>
      <c r="R23" s="4" cm="1">
        <f t="array" ref="R23">_xll.ffDVF($C23,$H23,$A23)</f>
        <v>0.72481500000003507</v>
      </c>
      <c r="S23" s="4" cm="1">
        <f t="array" ref="S23">_xll.ffPUF($C23,$H23,$A23)</f>
        <v>1153.961538</v>
      </c>
      <c r="T23" t="str">
        <f t="shared" si="11"/>
        <v>01.01.2031</v>
      </c>
    </row>
    <row r="24" spans="1:20" ht="15.75" thickBot="1" x14ac:dyDescent="0.3">
      <c r="A24" s="1">
        <v>44217</v>
      </c>
      <c r="C24" s="1" t="s">
        <v>36</v>
      </c>
      <c r="D24" s="8">
        <f>SUM(D19:D23)</f>
        <v>19.5</v>
      </c>
      <c r="E24" s="9">
        <f>SUM(E19:E23)</f>
        <v>5987.3580634773589</v>
      </c>
      <c r="F24" s="34">
        <f>SUM(F19:F23)</f>
        <v>5987.3580634773589</v>
      </c>
      <c r="G24" s="8">
        <f>SUM(G19:G23)</f>
        <v>18.832736212687486</v>
      </c>
      <c r="J24" s="6"/>
      <c r="N24" s="1"/>
      <c r="O24" s="6"/>
      <c r="P24" s="1"/>
    </row>
    <row r="28" spans="1:20" x14ac:dyDescent="0.25">
      <c r="F28" t="s">
        <v>58</v>
      </c>
    </row>
    <row r="29" spans="1:20" x14ac:dyDescent="0.25">
      <c r="F29" s="17" t="str">
        <f>IF(NOT(flag_OK_total),"","the Auction Size " &amp; TEXT(TRUNC(F24/1000,0),"0") &amp; "." &amp; TEXT(ROUND(MOD(F24/1000,1),1)*10,"0") &amp; " million DV one TOTAL")</f>
        <v>the Auction Size 5.10 million DV one TOTAL</v>
      </c>
    </row>
    <row r="30" spans="1:20" x14ac:dyDescent="0.25">
      <c r="F30" s="17" t="str">
        <f>IF(NOT(flag_ok_LTN),"","the Auction Size " &amp; TEXT(TRUNC(F20/1000,0),"0") &amp; "." &amp; TEXT(ROUND(MOD(F20/1000,1),1)*10,"0") &amp; " million DV one LTN")</f>
        <v>the Auction Size 2.4 million DV one LTN</v>
      </c>
    </row>
    <row r="31" spans="1:20" x14ac:dyDescent="0.25">
      <c r="F31" s="17" t="str">
        <f>IF(NOT(flag_OK_Faca),"","the Auction Size " &amp; TEXT(TRUNC(F23/1000,0),"0") &amp; "." &amp; TEXT(ROUND(MOD(F23/1000,1),1)*10,"0") &amp; " million DV one NTNF")</f>
        <v>the Auction Size 3.6 million DV one NTNF</v>
      </c>
    </row>
  </sheetData>
  <conditionalFormatting sqref="F2:F3">
    <cfRule type="cellIs" dxfId="4" priority="6" operator="equal">
      <formula>TRUE</formula>
    </cfRule>
  </conditionalFormatting>
  <conditionalFormatting sqref="G2">
    <cfRule type="cellIs" dxfId="3" priority="5" operator="equal">
      <formula>TRUE</formula>
    </cfRule>
  </conditionalFormatting>
  <conditionalFormatting sqref="D2:E3">
    <cfRule type="cellIs" dxfId="2" priority="4" operator="equal">
      <formula>TRUE</formula>
    </cfRule>
  </conditionalFormatting>
  <conditionalFormatting sqref="B3">
    <cfRule type="expression" dxfId="1" priority="3">
      <formula>$F3</formula>
    </cfRule>
  </conditionalFormatting>
  <conditionalFormatting sqref="B2">
    <cfRule type="expression" dxfId="0" priority="2">
      <formula>$F2</formula>
    </cfRule>
  </conditionalFormatting>
  <dataValidations count="1">
    <dataValidation type="list" allowBlank="1" showInputMessage="1" showErrorMessage="1" sqref="O2" xr:uid="{470EC19F-3353-406F-9B81-302339115FDC}">
      <formula1>"TRUE,FALSE"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B17B5-DC51-4862-BBD8-758823349F47}">
  <sheetPr codeName="Sheet4"/>
  <dimension ref="A1:E4"/>
  <sheetViews>
    <sheetView workbookViewId="0">
      <selection sqref="A1:E4"/>
    </sheetView>
  </sheetViews>
  <sheetFormatPr defaultRowHeight="15" x14ac:dyDescent="0.25"/>
  <cols>
    <col min="1" max="1" width="10.140625" bestFit="1" customWidth="1"/>
    <col min="2" max="2" width="6.140625" bestFit="1" customWidth="1"/>
    <col min="3" max="3" width="8.7109375" bestFit="1" customWidth="1"/>
    <col min="4" max="4" width="11.140625" bestFit="1" customWidth="1"/>
    <col min="5" max="5" width="12" style="5" bestFit="1" customWidth="1"/>
  </cols>
  <sheetData>
    <row r="1" spans="1:5" x14ac:dyDescent="0.25">
      <c r="A1" t="s">
        <v>0</v>
      </c>
      <c r="B1" t="s">
        <v>46</v>
      </c>
      <c r="C1" t="s">
        <v>47</v>
      </c>
      <c r="D1" t="s">
        <v>48</v>
      </c>
      <c r="E1" s="5" t="s">
        <v>35</v>
      </c>
    </row>
    <row r="2" spans="1:5" x14ac:dyDescent="0.25">
      <c r="A2" t="s">
        <v>49</v>
      </c>
      <c r="B2" t="s">
        <v>2</v>
      </c>
      <c r="C2">
        <v>5</v>
      </c>
      <c r="D2" t="s">
        <v>50</v>
      </c>
      <c r="E2" s="5">
        <v>537.11874999999998</v>
      </c>
    </row>
    <row r="3" spans="1:5" x14ac:dyDescent="0.25">
      <c r="A3" t="s">
        <v>51</v>
      </c>
      <c r="B3" t="s">
        <v>2</v>
      </c>
      <c r="C3">
        <v>5</v>
      </c>
      <c r="D3" t="s">
        <v>50</v>
      </c>
      <c r="E3" s="5">
        <v>825.52279499999997</v>
      </c>
    </row>
    <row r="4" spans="1:5" x14ac:dyDescent="0.25">
      <c r="A4" t="s">
        <v>52</v>
      </c>
      <c r="B4" t="s">
        <v>2</v>
      </c>
      <c r="C4">
        <v>4</v>
      </c>
      <c r="D4" t="s">
        <v>50</v>
      </c>
      <c r="E4" s="5">
        <v>1024.481888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E7B41-7091-43DC-B4D3-AB12DEC05851}">
  <sheetPr codeName="Sheet5"/>
  <dimension ref="A1:E3"/>
  <sheetViews>
    <sheetView workbookViewId="0">
      <selection sqref="A1:E3"/>
    </sheetView>
  </sheetViews>
  <sheetFormatPr defaultRowHeight="15" x14ac:dyDescent="0.25"/>
  <cols>
    <col min="5" max="5" width="9.140625" style="5"/>
  </cols>
  <sheetData>
    <row r="1" spans="1:5" x14ac:dyDescent="0.25">
      <c r="A1" t="s">
        <v>0</v>
      </c>
      <c r="B1" t="s">
        <v>46</v>
      </c>
      <c r="C1" t="s">
        <v>47</v>
      </c>
      <c r="D1" t="s">
        <v>48</v>
      </c>
      <c r="E1" s="5" t="s">
        <v>35</v>
      </c>
    </row>
    <row r="2" spans="1:5" x14ac:dyDescent="0.25">
      <c r="A2" t="s">
        <v>53</v>
      </c>
      <c r="B2" t="s">
        <v>3</v>
      </c>
      <c r="C2">
        <v>4</v>
      </c>
      <c r="D2" t="s">
        <v>50</v>
      </c>
      <c r="E2" s="5">
        <v>2485.6819999999998</v>
      </c>
    </row>
    <row r="3" spans="1:5" x14ac:dyDescent="0.25">
      <c r="A3" t="s">
        <v>54</v>
      </c>
      <c r="B3" t="s">
        <v>3</v>
      </c>
      <c r="C3">
        <v>1.5</v>
      </c>
      <c r="D3" t="s">
        <v>50</v>
      </c>
      <c r="E3" s="5">
        <v>1085.982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89F28-10EA-45FB-9BE6-F7496B9A44BF}">
  <sheetPr codeName="Sheet3"/>
  <dimension ref="A1:B8"/>
  <sheetViews>
    <sheetView workbookViewId="0"/>
  </sheetViews>
  <sheetFormatPr defaultRowHeight="15" x14ac:dyDescent="0.25"/>
  <cols>
    <col min="1" max="1" width="10.7109375" bestFit="1" customWidth="1"/>
  </cols>
  <sheetData>
    <row r="1" spans="1:2" x14ac:dyDescent="0.25">
      <c r="A1" s="2" t="str">
        <f>LEILAO!T6</f>
        <v>Cod</v>
      </c>
      <c r="B1" s="2" t="str">
        <f>LEILAO!R6</f>
        <v>DV unit</v>
      </c>
    </row>
    <row r="2" spans="1:2" x14ac:dyDescent="0.25">
      <c r="A2" t="str">
        <f>LEILAO!T7</f>
        <v>01.04.2022</v>
      </c>
      <c r="B2">
        <f>LEILAO!R7</f>
        <v>0.10740134043533089</v>
      </c>
    </row>
    <row r="3" spans="1:2" x14ac:dyDescent="0.25">
      <c r="A3" t="str">
        <f>LEILAO!T8</f>
        <v>01.10.2021</v>
      </c>
      <c r="B3">
        <f>LEILAO!R8</f>
        <v>6.4152411534337261E-2</v>
      </c>
    </row>
    <row r="4" spans="1:2" x14ac:dyDescent="0.25">
      <c r="A4" t="str">
        <f>LEILAO!T9</f>
        <v>01.01.2023</v>
      </c>
      <c r="B4">
        <f>LEILAO!R9</f>
        <v>0.16505878010718789</v>
      </c>
    </row>
    <row r="5" spans="1:2" x14ac:dyDescent="0.25">
      <c r="A5" t="str">
        <f>LEILAO!T10</f>
        <v>01.07.2024</v>
      </c>
      <c r="B5" s="4">
        <f>LEILAO!R10</f>
        <v>0.25601481817170679</v>
      </c>
    </row>
    <row r="6" spans="1:2" x14ac:dyDescent="0.25">
      <c r="A6" t="str">
        <f>LEILAO!T11</f>
        <v>01.01.2027</v>
      </c>
      <c r="B6" s="4">
        <f>LEILAO!R11</f>
        <v>0.49982749999992393</v>
      </c>
    </row>
    <row r="7" spans="1:2" x14ac:dyDescent="0.25">
      <c r="A7" t="str">
        <f>LEILAO!T12</f>
        <v>01.01.2029</v>
      </c>
      <c r="B7">
        <f>LEILAO!R12</f>
        <v>0.62049750000005588</v>
      </c>
    </row>
    <row r="8" spans="1:2" x14ac:dyDescent="0.25">
      <c r="A8" t="str">
        <f>LEILAO!T13</f>
        <v>01.01.2031</v>
      </c>
      <c r="B8">
        <f>LEILAO!R13</f>
        <v>0.72208100000000286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Ctrl</vt:lpstr>
      <vt:lpstr>LEILAO</vt:lpstr>
      <vt:lpstr>dfLTN</vt:lpstr>
      <vt:lpstr>dfNTNF</vt:lpstr>
      <vt:lpstr>DV_unit</vt:lpstr>
      <vt:lpstr>file_DV_unit_CSV</vt:lpstr>
      <vt:lpstr>file_Faca</vt:lpstr>
      <vt:lpstr>file_LTN</vt:lpstr>
      <vt:lpstr>flag_existe_faca</vt:lpstr>
      <vt:lpstr>flag_existe_LTN</vt:lpstr>
      <vt:lpstr>flag_loop</vt:lpstr>
      <vt:lpstr>flag_OK_Faca</vt:lpstr>
      <vt:lpstr>flag_ok_LTN</vt:lpstr>
      <vt:lpstr>flag_OK_total</vt:lpstr>
      <vt:lpstr>input_repeat_loop</vt:lpstr>
      <vt:lpstr>text_speak_Faca</vt:lpstr>
      <vt:lpstr>text_speak_LTN</vt:lpstr>
      <vt:lpstr>text_speak_Total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FYY</dc:creator>
  <cp:lastModifiedBy>FYY</cp:lastModifiedBy>
  <dcterms:created xsi:type="dcterms:W3CDTF">2021-01-14T01:29:44Z</dcterms:created>
  <dcterms:modified xsi:type="dcterms:W3CDTF">2021-01-28T12:40:55Z</dcterms:modified>
</cp:coreProperties>
</file>